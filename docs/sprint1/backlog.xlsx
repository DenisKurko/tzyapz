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принт 1" sheetId="1" state="visible" r:id="rId3"/>
    <sheet name="Очікування" sheetId="2" state="visible" r:id="rId4"/>
    <sheet name="Очікування → stories" sheetId="3" state="visible" r:id="rId5"/>
    <sheet name="Ролі → зміни" sheetId="4" state="visible" r:id="rId6"/>
    <sheet name="М1 Відкриття рахунку" sheetId="5" state="visible" r:id="rId7"/>
    <sheet name="М2 Переказ коштів" sheetId="6" state="visible" r:id="rId8"/>
    <sheet name="М3 Оформлення кредиту" sheetId="7" state="visible" r:id="rId9"/>
    <sheet name="М4 Оплата рахунку" sheetId="8" state="visible" r:id="rId10"/>
    <sheet name="Покриття нотації" sheetId="9" state="visible" r:id="rId11"/>
    <sheet name="Відкриті питання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<sst xmlns="http://schemas.openxmlformats.org/spreadsheetml/2006/main" count="628" uniqueCount="363">
  <si>
    <t xml:space="preserve">Таблиця 1. Беклог вимог (user stories)</t>
  </si>
  <si>
    <t xml:space="preserve">Продукт: П2 «ФінКит» (finkit) · Спринт 1 · Команда: &lt;назва&gt; · Дата: &lt;дд.мм.2026&gt; · Автор: &lt;ПІБ&gt;, Тест-аналітик · Рецензент: &lt;ПІБ&gt;, &lt;дата&gt;</t>
  </si>
  <si>
    <t xml:space="preserve">ID</t>
  </si>
  <si>
    <t xml:space="preserve">Роль (як …)</t>
  </si>
  <si>
    <t xml:space="preserve">Бажання (я хочу …)</t>
  </si>
  <si>
    <t xml:space="preserve">Мета (щоб …)</t>
  </si>
  <si>
    <t xml:space="preserve">Пріоритет</t>
  </si>
  <si>
    <t xml:space="preserve">Примітки для тестування</t>
  </si>
  <si>
    <t xml:space="preserve">Статус</t>
  </si>
  <si>
    <t xml:space="preserve">Трасування</t>
  </si>
  <si>
    <t xml:space="preserve">Чому такий пріоритет</t>
  </si>
  <si>
    <t xml:space="preserve">US-01</t>
  </si>
  <si>
    <t xml:space="preserve">Клієнт</t>
  </si>
  <si>
    <t xml:space="preserve">ввести суму, строк у місяцях і ставку та побачити щомісячний платіж</t>
  </si>
  <si>
    <t xml:space="preserve">оцінити навантаження на бюджет до візиту у відділення</t>
  </si>
  <si>
    <t xml:space="preserve">High</t>
  </si>
  <si>
    <t xml:space="preserve">A = P·i / (1 − (1+i)^−n), i = річна ставка / 12 / 100; округлення до 0,01 HALF_UP; контрольний приклад (орієнтовний, до підстановки меж BL — див. В1): P = 100 000, 20 % річних, n = 12 → A = 9 263,45, переплата = 11 161,40</t>
  </si>
  <si>
    <t xml:space="preserve">чернетка</t>
  </si>
  <si>
    <t xml:space="preserve">О-1 (пряма)</t>
  </si>
  <si>
    <t xml:space="preserve">Ядро замовлення: без розрахунку платежу решти функції не існує</t>
  </si>
  <si>
    <t xml:space="preserve">US-02</t>
  </si>
  <si>
    <t xml:space="preserve">бачити загальну переплату за весь строк</t>
  </si>
  <si>
    <t xml:space="preserve">порівнювати варіанти суми і строку</t>
  </si>
  <si>
    <t xml:space="preserve">Medium</t>
  </si>
  <si>
    <t xml:space="preserve">переплата = A·n − P; більший строк за незмінних суми і ставки дає більшу переплату</t>
  </si>
  <si>
    <t xml:space="preserve">Виводиться з розрахунку US-01; калькулятор корисний і без окремого показника переплати</t>
  </si>
  <si>
    <t xml:space="preserve">US-03</t>
  </si>
  <si>
    <t xml:space="preserve">бачити графік платежів за місяцями (дата, тіло, відсотки, залишок)</t>
  </si>
  <si>
    <t xml:space="preserve">розуміти, яка частина платежу гасить борг</t>
  </si>
  <si>
    <t xml:space="preserve">рядків = n; сума тіла = сумі кредиту; залишок після останнього платежу 0,00; перший рядок має найбільші відсотки; дати — крок 1 місяць від дати видачі, перевірити видачу 31-го числа і перехід у лютий</t>
  </si>
  <si>
    <t xml:space="preserve">О-2 (пряма)</t>
  </si>
  <si>
    <t xml:space="preserve">Окреме очікування замовника, але рішення клієнт ухвалює вже за платежем з US-01 — див. «Відкриті питання», В2</t>
  </si>
  <si>
    <t xml:space="preserve">US-04</t>
  </si>
  <si>
    <t xml:space="preserve">отримувати пояснення, якщо сума поза лімітами банку</t>
  </si>
  <si>
    <t xml:space="preserve">виправити введення до подання заявки</t>
  </si>
  <si>
    <t xml:space="preserve">межі суми &lt;межі з SRS, розділ BL&gt;: min−0,01 / min / max / max+0,01; порожнє, 0, від'ємне, нечислове; повідомлення називає саме суму</t>
  </si>
  <si>
    <t xml:space="preserve">О-3 (пряма)</t>
  </si>
  <si>
    <t xml:space="preserve">«Жодних приблизних цифр»: розрахунок за сумою поза лімітом дає клієнту хибні умови</t>
  </si>
  <si>
    <t xml:space="preserve">US-05</t>
  </si>
  <si>
    <t xml:space="preserve">отримувати пояснення, якщо строк поза лімітами банку</t>
  </si>
  <si>
    <t xml:space="preserve">не подавати заявку, яку банк відхилить</t>
  </si>
  <si>
    <t xml:space="preserve">межі строку &lt;межі з SRS, розділ BL&gt;: min−1 / min / max / max+1; 0, від'ємне, дробове; повідомлення називає саме строк</t>
  </si>
  <si>
    <t xml:space="preserve">Те саме для строку: неправильний строк змінює і платіж, і графік</t>
  </si>
  <si>
    <t xml:space="preserve">US-06</t>
  </si>
  <si>
    <t xml:space="preserve">отримувати пояснення, якщо ставка поза лімітами банку</t>
  </si>
  <si>
    <t xml:space="preserve">бачити реальні умови банку</t>
  </si>
  <si>
    <t xml:space="preserve">межі ставки &lt;межі з SRS, розділ BL&gt;: межі та 0; за ставки 0 платіж = P/n; повідомлення називає саме ставку</t>
  </si>
  <si>
    <t xml:space="preserve">Те саме для ставки; ставка поза межами банку робить весь розрахунок недійсним</t>
  </si>
  <si>
    <t xml:space="preserve">US-07</t>
  </si>
  <si>
    <t xml:space="preserve">подати заявку одразу з калькулятора зі збереженими параметрами</t>
  </si>
  <si>
    <t xml:space="preserve">не вводити ті самі дані вдруге</t>
  </si>
  <si>
    <t xml:space="preserve">параметри заявки збігаються з останнім розрахунком; зміна параметра оновлює заявку; подання при незаповненому калькуляторі недоступне</t>
  </si>
  <si>
    <t xml:space="preserve">О-4 (пряма)</t>
  </si>
  <si>
    <t xml:space="preserve">Замовлення прямо вимагає подання заявки «одразу з калькулятора»</t>
  </si>
  <si>
    <t xml:space="preserve">US-08</t>
  </si>
  <si>
    <t xml:space="preserve">бачити попереднє рішення одразу після подання заявки</t>
  </si>
  <si>
    <t xml:space="preserve">розуміти шанси без очікування дзвінка</t>
  </si>
  <si>
    <t xml:space="preserve">час відповіді не більший за &lt;значення з SRS, розділ P-&gt;; три результати: схвалено / відмова / ручний розгляд; текст рішення непорожній</t>
  </si>
  <si>
    <t xml:space="preserve">Попереднє рішення «за кілька секунд» — окремо назване очікування</t>
  </si>
  <si>
    <t xml:space="preserve">US-09</t>
  </si>
  <si>
    <t xml:space="preserve">бачити причину попередньої відмови</t>
  </si>
  <si>
    <t xml:space="preserve">зрозуміти, що змінити перед повторною заявкою</t>
  </si>
  <si>
    <t xml:space="preserve">за відмови показується причина; чи розкривати пороги скорингу — уточнити</t>
  </si>
  <si>
    <t xml:space="preserve">О-4 (похідна)</t>
  </si>
  <si>
    <t xml:space="preserve">Уточнює відмову з US-08; функція працює і без пояснення причини</t>
  </si>
  <si>
    <t xml:space="preserve">US-10</t>
  </si>
  <si>
    <t xml:space="preserve">бачити статус заявки у кабінеті</t>
  </si>
  <si>
    <t xml:space="preserve">не телефонувати у відділення</t>
  </si>
  <si>
    <t xml:space="preserve">статуси: подано, ручний розгляд, схвалено, відмовлено, не підтверджено; для клієнта без заявок — повідомлення, а не порожній екран</t>
  </si>
  <si>
    <t xml:space="preserve">О-6 (пряма)</t>
  </si>
  <si>
    <t xml:space="preserve">Без статусу в кабінеті клієнт повертається до дзвінків у відділення — мета замовлення не досягнута</t>
  </si>
  <si>
    <t xml:space="preserve">US-11</t>
  </si>
  <si>
    <t xml:space="preserve">отримувати повідомлення про зміну статусу заявки</t>
  </si>
  <si>
    <t xml:space="preserve">не перевіряти кабінет щодня</t>
  </si>
  <si>
    <t xml:space="preserve">повідомлення на кожну зміну статусу; повторна зміна на той самий статус повідомлення не створює; містить номер заявки і новий статус</t>
  </si>
  <si>
    <t xml:space="preserve">Статус уже видно в кабінеті (US-10); сповіщення лише прибирають потребу перевіряти щодня</t>
  </si>
  <si>
    <t xml:space="preserve">US-12</t>
  </si>
  <si>
    <t xml:space="preserve">підтвердити умови кредиту після схвалення</t>
  </si>
  <si>
    <t xml:space="preserve">отримати кошти без візиту у відділення</t>
  </si>
  <si>
    <t xml:space="preserve">підтвердження доступне лише у статусі «схвалено»; без підтвердження за 7 днів — статус «не підтверджено»</t>
  </si>
  <si>
    <t xml:space="preserve">О-6 (похідна)</t>
  </si>
  <si>
    <t xml:space="preserve">Завершує наявний процес видачі кредиту (процес 3, крок 6 + таймер 7 днів); у тексті замовлення не названо, але статус «не підтверджено» клієнт бачить за О-6</t>
  </si>
  <si>
    <t xml:space="preserve">US-13</t>
  </si>
  <si>
    <t xml:space="preserve">Ризик-менеджер</t>
  </si>
  <si>
    <t xml:space="preserve">бачити список заявок на ручний розгляд</t>
  </si>
  <si>
    <t xml:space="preserve">не пропустити заявку, яка чекає рішення</t>
  </si>
  <si>
    <t xml:space="preserve">у списку лише заявки зі статусом «ручний розгляд»; після рішення заявка зникає зі списку</t>
  </si>
  <si>
    <t xml:space="preserve">О-5 (пряма)</t>
  </si>
  <si>
    <t xml:space="preserve">Без черги ручного розгляду заявки з граничним скорингом зависають</t>
  </si>
  <si>
    <t xml:space="preserve">US-14</t>
  </si>
  <si>
    <t xml:space="preserve">бачити результат скорингу поруч із заявкою</t>
  </si>
  <si>
    <t xml:space="preserve">ухвалювати рішення на тих самих даних, що й система</t>
  </si>
  <si>
    <t xml:space="preserve">для кожної заявки показано оцінку і причину передачі на ручний розгляд; параметри збігаються з поданими клієнтом</t>
  </si>
  <si>
    <t xml:space="preserve">Замовлення прямо вимагає показувати скоринг поруч із заявкою</t>
  </si>
  <si>
    <t xml:space="preserve">US-15</t>
  </si>
  <si>
    <t xml:space="preserve">схвалити або відхилити заявку з коментарем</t>
  </si>
  <si>
    <t xml:space="preserve">залишити слід рішення для розбору спірних випадків</t>
  </si>
  <si>
    <t xml:space="preserve">рішення змінює статус і створює повідомлення клієнту (US-11); обов'язковість коментаря уточнити</t>
  </si>
  <si>
    <t xml:space="preserve">О-5 (похідна)</t>
  </si>
  <si>
    <t xml:space="preserve">Рішення ризик-менеджера існує і в поточному продукті (процес 3, крок 4) — нова функція лише додає онлайн-джерело заявок</t>
  </si>
  <si>
    <t xml:space="preserve">US-16</t>
  </si>
  <si>
    <t xml:space="preserve">Адміністратор</t>
  </si>
  <si>
    <t xml:space="preserve">налаштовувати межі суми, строку і ставки</t>
  </si>
  <si>
    <t xml:space="preserve">змінювати умови без участі розробників</t>
  </si>
  <si>
    <t xml:space="preserve">змінена межа діє з наступного розрахунку; min більший за max відхиляється; зміна фіксується у журналі аудиту</t>
  </si>
  <si>
    <t xml:space="preserve">О-3 (похідна)</t>
  </si>
  <si>
    <t xml:space="preserve">Межі можна перший час тримати в конфігурації; без самообслуговування функція працює</t>
  </si>
  <si>
    <t xml:space="preserve">US-17</t>
  </si>
  <si>
    <t xml:space="preserve">бачити журнал змін параметрів кредитування</t>
  </si>
  <si>
    <t xml:space="preserve">відновити, хто і коли змінив умови</t>
  </si>
  <si>
    <t xml:space="preserve">Low</t>
  </si>
  <si>
    <t xml:space="preserve">запис містить параметр, старе і нове значення, автора і час; порожній період дає повідомлення, а не помилку</t>
  </si>
  <si>
    <t xml:space="preserve">Доповнення до US-16; журнал аудиту в продукті вже є (роль адміністратора, 4.2)</t>
  </si>
  <si>
    <t xml:space="preserve">US-18</t>
  </si>
  <si>
    <t xml:space="preserve">Операціоніст</t>
  </si>
  <si>
    <t xml:space="preserve">бачити, що заявка надійшла з онлайн-калькулятора</t>
  </si>
  <si>
    <t xml:space="preserve">не запитувати дані, які клієнт уже ввів</t>
  </si>
  <si>
    <t xml:space="preserve">джерело заявки видно у картці; параметри доступні лише для читання</t>
  </si>
  <si>
    <t xml:space="preserve">Зручність для операціоніста; на шлях клієнта не впливає</t>
  </si>
  <si>
    <t xml:space="preserve">US-19</t>
  </si>
  <si>
    <t xml:space="preserve">вказати перший внесок і рахунок зарахування при поданні заявки з калькулятора</t>
  </si>
  <si>
    <t xml:space="preserve">подати повну заявку, не вводячи параметри розрахунку вдруге</t>
  </si>
  <si>
    <t xml:space="preserve">тіло кредиту = сума − перший внесок; перший внесок 0, дорівнює сумі, більший за суму; рахунок обирається зі списку власних рахунків клієнта; параметри з калькулятора переносяться без змін</t>
  </si>
  <si>
    <t xml:space="preserve">Процес 3, крок 1 вимагає першого внеску і рахунку, яких калькулятор (О-1) не містить — без них заявка з калькулятора неповна. Остаточне формулювання залежить від рішення за В6</t>
  </si>
  <si>
    <t xml:space="preserve">Таблиця 2. Очікування замовника (каталог, розділ 4.4)</t>
  </si>
  <si>
    <t xml:space="preserve">Продукт: П2 «ФінКит» · Спринт 1 · Команда: &lt;назва&gt; · Автор: &lt;ПІБ&gt;, Тест-аналітик · Дата: &lt;дд.мм.2026&gt;</t>
  </si>
  <si>
    <t xml:space="preserve">Очікування замовника (дослівно)</t>
  </si>
  <si>
    <t xml:space="preserve">Своїми словами</t>
  </si>
  <si>
    <t xml:space="preserve">Кого стосується</t>
  </si>
  <si>
    <t xml:space="preserve">О-1</t>
  </si>
  <si>
    <t xml:space="preserve">Клієнт вводить суму, строк у місяцях і ставку та бачить щомісячний платіж за ануїтетною схемою і загальну переплату</t>
  </si>
  <si>
    <t xml:space="preserve">Калькулятор рахує платіж і переплату за формулою банку</t>
  </si>
  <si>
    <t xml:space="preserve">О-2</t>
  </si>
  <si>
    <t xml:space="preserve">Калькулятор показує графік за місяцями: дата, тіло, відсотки, залишок</t>
  </si>
  <si>
    <t xml:space="preserve">Клієнт бачить, як гаситься борг по місяцях</t>
  </si>
  <si>
    <t xml:space="preserve">О-3</t>
  </si>
  <si>
    <t xml:space="preserve">Система не приймає суму, строк або ставку поза лімітами банку і пояснює, чому</t>
  </si>
  <si>
    <t xml:space="preserve">Валідація меж із зрозумілим поясненням</t>
  </si>
  <si>
    <t xml:space="preserve">Клієнт, Адміністратор</t>
  </si>
  <si>
    <t xml:space="preserve">О-4</t>
  </si>
  <si>
    <t xml:space="preserve">Клієнт подає заявку одразу з калькулятора і за кілька секунд бачить попереднє рішення</t>
  </si>
  <si>
    <t xml:space="preserve">Заявка без повторного введення даних + миттєве рішення</t>
  </si>
  <si>
    <t xml:space="preserve">Клієнт, Операціоніст</t>
  </si>
  <si>
    <t xml:space="preserve">О-5</t>
  </si>
  <si>
    <t xml:space="preserve">Ризик-менеджер бачить заявки на ручний розгляд разом із результатом скорингу</t>
  </si>
  <si>
    <t xml:space="preserve">Черга ручного розгляду з готовим контекстом</t>
  </si>
  <si>
    <t xml:space="preserve">О-6</t>
  </si>
  <si>
    <t xml:space="preserve">Клієнт бачить статус заявки у кабінеті й отримує повідомлення про його зміну</t>
  </si>
  <si>
    <t xml:space="preserve">Прозорий статус без дзвінків у відділення</t>
  </si>
  <si>
    <t xml:space="preserve">Рамка замовлення (4.4): умови кредиту мають бути відомі клієнту до візиту у відділення; ліміти й формули — збігатися з банківськими, без приблизних цифр.</t>
  </si>
  <si>
    <t xml:space="preserve">Таблиця 3. Трасування «очікування → user stories»</t>
  </si>
  <si>
    <t xml:space="preserve">Очікування</t>
  </si>
  <si>
    <t xml:space="preserve">Прямі stories</t>
  </si>
  <si>
    <t xml:space="preserve">Похідні stories</t>
  </si>
  <si>
    <t xml:space="preserve">Покрито</t>
  </si>
  <si>
    <t xml:space="preserve">платіж + переплата</t>
  </si>
  <si>
    <t xml:space="preserve">US-01, US-02</t>
  </si>
  <si>
    <t xml:space="preserve">—</t>
  </si>
  <si>
    <t xml:space="preserve">так</t>
  </si>
  <si>
    <t xml:space="preserve">графік за місяцями</t>
  </si>
  <si>
    <t xml:space="preserve">валідація лімітів із поясненням</t>
  </si>
  <si>
    <t xml:space="preserve">US-04, US-05, US-06</t>
  </si>
  <si>
    <t xml:space="preserve">US-16, US-17</t>
  </si>
  <si>
    <t xml:space="preserve">заявка з калькулятора + попереднє рішення</t>
  </si>
  <si>
    <t xml:space="preserve">US-07, US-08</t>
  </si>
  <si>
    <t xml:space="preserve">US-09, US-18, US-19</t>
  </si>
  <si>
    <t xml:space="preserve">черга ручного розгляду зі скорингом</t>
  </si>
  <si>
    <t xml:space="preserve">US-13, US-14</t>
  </si>
  <si>
    <t xml:space="preserve">статус заявки + повідомлення</t>
  </si>
  <si>
    <t xml:space="preserve">US-10, US-11</t>
  </si>
  <si>
    <t xml:space="preserve">Пряма — очікування названо текстом у 4.4. Похідна — story виведена командою з ролей і процесів легенди. 6 очікувань → 19 stories: 12 прямих, 7 похідних; кожне очікування має щонайменше одну пряму story.</t>
  </si>
  <si>
    <t xml:space="preserve">Таблиця 4. Що нова функція змінює для кожної ролі (каталог, розділ 4.2)</t>
  </si>
  <si>
    <t xml:space="preserve">Роль</t>
  </si>
  <si>
    <t xml:space="preserve">Що робить зараз</t>
  </si>
  <si>
    <t xml:space="preserve">Що змінює нова функція</t>
  </si>
  <si>
    <t xml:space="preserve">Stories</t>
  </si>
  <si>
    <t xml:space="preserve">Подає заявку на кредит, вказуючи суму, перший внесок і рахунок; умови дізнається у відділенні</t>
  </si>
  <si>
    <t xml:space="preserve">Рахує платіж сам, бачить графік і межі, подає заявку з калькулятора, стежить за статусом</t>
  </si>
  <si>
    <t xml:space="preserve">US-01…US-12, US-19</t>
  </si>
  <si>
    <t xml:space="preserve">Розглядає заявки, що не пройшли автоматичний скоринг, встановлює ліміти</t>
  </si>
  <si>
    <t xml:space="preserve">Отримує заявки з онлайн-джерела разом із результатом скорингу і параметрами клієнта</t>
  </si>
  <si>
    <t xml:space="preserve">US-13, US-14, US-15</t>
  </si>
  <si>
    <t xml:space="preserve">Керує параметрами лімітів і тарифів, журналом аудиту</t>
  </si>
  <si>
    <t xml:space="preserve">Отримує нові параметри під керування — межі суми, строку і ставки калькулятора</t>
  </si>
  <si>
    <t xml:space="preserve">Перевіряє документи клієнтів, супроводжує відкриття рахунків, розбирає спірні операції</t>
  </si>
  <si>
    <t xml:space="preserve">Бачить, що заявка надійшла з калькулятора, і не перепитує вже введені дані</t>
  </si>
  <si>
    <t xml:space="preserve">У demo ParaBank ролі операціоніста, ризик-менеджера й адміністратора не представлені (каталог 4.5, «Обмеження»): це внутрішні ролі для BPMN і user stories; тест-кейсів спринта 3 на них не буде.</t>
  </si>
  <si>
    <t xml:space="preserve">Таблиця 5. Модель 1 «Відкриття рахунку» — елементи. Пули: «Клієнт»; «ФінКит» (доріжки «Система», «Операціоніст»)</t>
  </si>
  <si>
    <t xml:space="preserve">№</t>
  </si>
  <si>
    <t xml:space="preserve">Пул / доріжка</t>
  </si>
  <si>
    <t xml:space="preserve">Тип елемента</t>
  </si>
  <si>
    <t xml:space="preserve">Назва й опис</t>
  </si>
  <si>
    <t xml:space="preserve">Початкова подія (проста)</t>
  </si>
  <si>
    <t xml:space="preserve">«Виникла потреба у новому рахунку»</t>
  </si>
  <si>
    <t xml:space="preserve">Задача</t>
  </si>
  <si>
    <t xml:space="preserve">«Обрати тип рахунку (поточний / ощадний)»; асоціація до об'єкта даних «Заявка на рахунок»</t>
  </si>
  <si>
    <t xml:space="preserve">«Обрати рахунок для початкового внеску»</t>
  </si>
  <si>
    <t xml:space="preserve">Задача + кидальна подія-повідомлення</t>
  </si>
  <si>
    <t xml:space="preserve">«Надіслати заявку на відкриття» — потік повідомлень до 8</t>
  </si>
  <si>
    <t xml:space="preserve">Шлюз XOR за подіями</t>
  </si>
  <si>
    <t xml:space="preserve">«Отримано номер рахунку» → 6; «Отримано відмову» → 7</t>
  </si>
  <si>
    <t xml:space="preserve">Кінцева подія</t>
  </si>
  <si>
    <t xml:space="preserve">«Рахунок відкрито»</t>
  </si>
  <si>
    <t xml:space="preserve">«У відкритті відмовлено»</t>
  </si>
  <si>
    <t xml:space="preserve">ФінКит / Система</t>
  </si>
  <si>
    <t xml:space="preserve">Початкова подія-повідомлення</t>
  </si>
  <si>
    <t xml:space="preserve">«Отримано заявку на відкриття» (ловить повідомлення з 4)</t>
  </si>
  <si>
    <t xml:space="preserve">Шлюз XOR за даними</t>
  </si>
  <si>
    <t xml:space="preserve">«Клієнт ідентифікований?» — «ні» → 10; «так» → 13</t>
  </si>
  <si>
    <t xml:space="preserve">ФінКит / Операціоніст</t>
  </si>
  <si>
    <t xml:space="preserve">Згорнутий підпроцес</t>
  </si>
  <si>
    <t xml:space="preserve">«Перевірити документи клієнта» — окрема діаграма, у норматив моделей не входить</t>
  </si>
  <si>
    <t xml:space="preserve">«Документи підтверджено?» — «ні» → 12; «так» → 13</t>
  </si>
  <si>
    <t xml:space="preserve">«Надіслати відмову за документами» → до 5; далі кінцева подія «Відмовлено (документи)»</t>
  </si>
  <si>
    <t xml:space="preserve">«Перевірити достатність коштів на рахунку-джерелі»; асоціація до сховища даних «Реєстр рахунків»</t>
  </si>
  <si>
    <t xml:space="preserve">«Коштів достатньо?» — «ні» → 15; «так» → 16</t>
  </si>
  <si>
    <t xml:space="preserve">«Надіслати відмову за коштами» → до 5; далі кінцева подія «Недостатньо коштів»</t>
  </si>
  <si>
    <t xml:space="preserve">«Створити рахунок і перенести початковий внесок»</t>
  </si>
  <si>
    <t xml:space="preserve">«Надіслати номер нового рахунку» → до 5</t>
  </si>
  <si>
    <t xml:space="preserve">Текстова анотація</t>
  </si>
  <si>
    <t xml:space="preserve">«Мінімальний внесок для відкриття — за розділом BL; у demo уточнюється на місці» (до 13)</t>
  </si>
  <si>
    <t xml:space="preserve">Три кінцеві події банку = три результати легенди: рахунок відкрито / відмовлено за документами / недостатньо коштів.</t>
  </si>
  <si>
    <t xml:space="preserve">Таблиця 6. Модель 2 «Переказ коштів» — елементи. Пули: «Клієнт»; «ФінКит» (доріжки «Система», «Операціоніст»); «Процесинговий центр»</t>
  </si>
  <si>
    <t xml:space="preserve">«Потрібно переказати кошти»</t>
  </si>
  <si>
    <t xml:space="preserve">«Ввести суму і рахунки відправника й одержувача»; асоціація до об'єкта даних «Переказ»</t>
  </si>
  <si>
    <t xml:space="preserve">«Надіслати форму переказу» — потік повідомлень до 7</t>
  </si>
  <si>
    <t xml:space="preserve">«Отримано підтвердження» → 5; «Отримано відмову» → 6</t>
  </si>
  <si>
    <t xml:space="preserve">«Переказ виконано»</t>
  </si>
  <si>
    <t xml:space="preserve">«Переказ не виконано»</t>
  </si>
  <si>
    <t xml:space="preserve">«Отримано форму переказу»</t>
  </si>
  <si>
    <t xml:space="preserve">«Перевірити формат реквізитів (IBAN, сума)»</t>
  </si>
  <si>
    <t xml:space="preserve">«Реквізити коректні?» — «ні» → 18; «так» → 10</t>
  </si>
  <si>
    <t xml:space="preserve">«Перевірити баланс і денний ліміт»; асоціація до сховища «Реєстр рахунків»</t>
  </si>
  <si>
    <t xml:space="preserve">«Ліміт перевищено?» — «так» → 12; «ні» (гілка за замовчуванням) → 14</t>
  </si>
  <si>
    <t xml:space="preserve">«Підтвердити операцію понад ліміт»</t>
  </si>
  <si>
    <t xml:space="preserve">«Операціоніст підтвердив?» — «ні» → 19; «так» → 14</t>
  </si>
  <si>
    <t xml:space="preserve">Шлюз ТА (розгалуження)</t>
  </si>
  <si>
    <t xml:space="preserve">Паралельно 15 і 16 — списання і зарахування однією транзакцією; потік повідомлень до 22</t>
  </si>
  <si>
    <t xml:space="preserve">Задача + межова проміжна подія-помилка</t>
  </si>
  <si>
    <t xml:space="preserve">«Списати кошти з рахунку відправника»; на межі — «Помилка платіжного шлюзу» → 21</t>
  </si>
  <si>
    <t xml:space="preserve">«Зарахувати кошти на рахунок одержувача»</t>
  </si>
  <si>
    <t xml:space="preserve">Шлюз ТА (синхронізація)</t>
  </si>
  <si>
    <t xml:space="preserve">Чекає обидві гілки розгалуження 14 → 20</t>
  </si>
  <si>
    <t xml:space="preserve">«Надіслати відмову системи» → до 4; далі кінцева подія «Відхилено системою»</t>
  </si>
  <si>
    <t xml:space="preserve">«Надіслати відмову операціоніста» → до 4; далі кінцева подія «Відхилено операціоністом»</t>
  </si>
  <si>
    <t xml:space="preserve">«Записати обидві операції в історію і повідомити клієнта» → до 4; асоціація до сховища «Журнал транзакцій»; далі кінцева подія «Переказ виконано»</t>
  </si>
  <si>
    <t xml:space="preserve">Дія-компенсація</t>
  </si>
  <si>
    <t xml:space="preserve">«Скасувати списання» — прив'язана до події-помилки на межі 15; далі кінцева подія «Технічна помилка»</t>
  </si>
  <si>
    <t xml:space="preserve">Процесинговий центр</t>
  </si>
  <si>
    <t xml:space="preserve">«Отримано запит на проведення»</t>
  </si>
  <si>
    <t xml:space="preserve">«Провести операцію і підтвердити» — потік повідомлень назад у доріжку «Система»</t>
  </si>
  <si>
    <t xml:space="preserve">«Операцію проведено»</t>
  </si>
  <si>
    <t xml:space="preserve">«Списання і зарахування — одна транзакція; роздільне виконання спричинило інцидент подвійного списання, після якого створено відділ якості» (до 14)</t>
  </si>
  <si>
    <t xml:space="preserve">Розгалуження ТА (14) закривається синхронізуючим ТА (17). Якщо закрити виключним АБО — задача 20 виконається двічі (типова помилка №3 методички).</t>
  </si>
  <si>
    <t xml:space="preserve">Таблиця 7. Модель 3 «Оформлення кредиту» — елементи. Пули: «Клієнт»; «ФінКит» (доріжки «Система (скоринг)», «Ризик-менеджер»)</t>
  </si>
  <si>
    <t xml:space="preserve">«Потрібен кредит»</t>
  </si>
  <si>
    <t xml:space="preserve">«Вказати суму, перший внесок і рахунок»; асоціація до об'єкта даних «Заявка на кредит»</t>
  </si>
  <si>
    <t xml:space="preserve">«Подати заявку» — потік повідомлень до 10</t>
  </si>
  <si>
    <t xml:space="preserve">Проміжна подія-повідомлення (ловить)</t>
  </si>
  <si>
    <t xml:space="preserve">«Отримано рішення за заявкою»</t>
  </si>
  <si>
    <t xml:space="preserve">«Рішення позитивне?» — «ні» → 6; «так» → 7</t>
  </si>
  <si>
    <t xml:space="preserve">«Кредит не надано»</t>
  </si>
  <si>
    <t xml:space="preserve">Задача + межова проміжна подія-таймер</t>
  </si>
  <si>
    <t xml:space="preserve">«Підтвердити умови кредиту»; на межі — «Минуло 7 днів» → 8</t>
  </si>
  <si>
    <t xml:space="preserve">«Умови не підтверджено»</t>
  </si>
  <si>
    <t xml:space="preserve">«Кредит отримано»</t>
  </si>
  <si>
    <t xml:space="preserve">«Отримано заявку на кредит»</t>
  </si>
  <si>
    <t xml:space="preserve">«Перевірити межі суми і строку»; асоціація до анотації 20</t>
  </si>
  <si>
    <t xml:space="preserve">«Параметри в межах?» — «ні» → 17; «так» → 13</t>
  </si>
  <si>
    <t xml:space="preserve">Розгорнутий підпроцес</t>
  </si>
  <si>
    <t xml:space="preserve">«Скоринг заявки» — внутрішні кроки: перевірка доходу, кредитної історії, наявного ліміту</t>
  </si>
  <si>
    <t xml:space="preserve">Шлюз XOR за даними (три гілки)</t>
  </si>
  <si>
    <t xml:space="preserve">«Результат скорингу?» — «відмова» → 17; «гранична оцінка або велика сума» → 15; «схвалено» → 18</t>
  </si>
  <si>
    <t xml:space="preserve">ФінКит / Ризик-менеджер</t>
  </si>
  <si>
    <t xml:space="preserve">«Розглянути заявку вручну»; асоціація до об'єкта даних «Заявка на кредит»</t>
  </si>
  <si>
    <t xml:space="preserve">«Рішення ризик-менеджера?» — «відхилено» → кінцева подія «Відмовлено ризик-менеджером»; «схвалено» → 18</t>
  </si>
  <si>
    <t xml:space="preserve">«Повідомити автоматичну відмову» → до 4; далі кінцева подія «Відмовлено автоматично»</t>
  </si>
  <si>
    <t xml:space="preserve">«Повідомити схвалення й умови» → до 4</t>
  </si>
  <si>
    <t xml:space="preserve">«Отримано підтвердження умов» → 21; «Минуло 7 днів» (таймер) → кінцева подія «Не підтверджено»</t>
  </si>
  <si>
    <t xml:space="preserve">«Ліміти суми, строку і ставки — за розділом BL специфікації» (до 11)</t>
  </si>
  <si>
    <t xml:space="preserve">«Зарахувати кошти і створити графік платежів»; асоціація до об'єкта даних «Графік платежів»</t>
  </si>
  <si>
    <t xml:space="preserve">«Кредит видано»</t>
  </si>
  <si>
    <t xml:space="preserve">«Онлайн-калькулятор, подання заявки з калькулятора і статус у кабінеті — замовлення на нову функцію (О-1…О-6); у поточній версії продукту відсутні» (до 2)</t>
  </si>
  <si>
    <t xml:space="preserve">Анотація 23 обов'язкова: показує, що команда свідомо змоделювала продукт «як є», а нову функцію винесла в беклог (типова помилка №4 методички).</t>
  </si>
  <si>
    <t xml:space="preserve">Таблиця 8. Модель 4 «Оплата рахунку» — елементи. Пули: «Клієнт»; «ФінКит» (доріжка «Система»); «Одержувач платежу»</t>
  </si>
  <si>
    <t xml:space="preserve">«Надійшов рахунок до оплати»</t>
  </si>
  <si>
    <t xml:space="preserve">«Ввести одержувача (назва, адреса, телефон, рахунок) і суму»; асоціація до об'єкта даних «Платіжне доручення»</t>
  </si>
  <si>
    <t xml:space="preserve">«Надіслати рахунок на оплату» — потік повідомлень до 7</t>
  </si>
  <si>
    <t xml:space="preserve">«Отримано підтвердження оплати» → 5; «Отримано повідомлення про помилку» → 6</t>
  </si>
  <si>
    <t xml:space="preserve">«Рахунок оплачено»</t>
  </si>
  <si>
    <t xml:space="preserve">«Оплату не виконано»</t>
  </si>
  <si>
    <t xml:space="preserve">«Отримано платіжне доручення»</t>
  </si>
  <si>
    <t xml:space="preserve">«Перевірити повноту і формат полів»</t>
  </si>
  <si>
    <t xml:space="preserve">«Поля коректні?» — «ні» → 10; «так» → 11</t>
  </si>
  <si>
    <t xml:space="preserve">«Повідомити помилку у реквізитах» → до 4; далі кінцева подія «Помилка у реквізитах»</t>
  </si>
  <si>
    <t xml:space="preserve">«Перевірити баланс рахунку»; асоціація до сховища «Реєстр рахунків»</t>
  </si>
  <si>
    <t xml:space="preserve">«Коштів достатньо?» — «ні» → 13; «так» → 14</t>
  </si>
  <si>
    <t xml:space="preserve">«Повідомити про недостатність коштів» → до 4; далі кінцева подія «Недостатньо коштів»</t>
  </si>
  <si>
    <t xml:space="preserve">«Списати кошти і сформувати платіжне доручення»</t>
  </si>
  <si>
    <t xml:space="preserve">«Надіслати доручення одержувачу» — потік повідомлень до 18</t>
  </si>
  <si>
    <t xml:space="preserve">«Показати підтвердження і записати в історію» → до 4; асоціація до сховища «Журнал транзакцій»</t>
  </si>
  <si>
    <t xml:space="preserve">«Оплачено»</t>
  </si>
  <si>
    <t xml:space="preserve">Одержувач платежу</t>
  </si>
  <si>
    <t xml:space="preserve">«Зарахувати платіж»</t>
  </si>
  <si>
    <t xml:space="preserve">«Платіж зараховано»</t>
  </si>
  <si>
    <t xml:space="preserve">«Одержувач платежу у demo не представлений; пул моделює зовнішнього учасника за легендою» (до 18)</t>
  </si>
  <si>
    <t xml:space="preserve">Усі стрілки, що перетинають межі пулів, — лише пунктирні потоки повідомлень (типова помилка №1 методички).</t>
  </si>
  <si>
    <t xml:space="preserve">Таблиця 9. Перевірка набору моделей за Definition of Done спринта 1</t>
  </si>
  <si>
    <t xml:space="preserve">Вимога DoD</t>
  </si>
  <si>
    <t xml:space="preserve">Де виконано</t>
  </si>
  <si>
    <t xml:space="preserve">4 моделі (команда з 5 осіб)</t>
  </si>
  <si>
    <t xml:space="preserve">Моделі 1–4 — усі чотири процеси легенди (каталог 4.3)</t>
  </si>
  <si>
    <t xml:space="preserve">≥3 різні типи шлюзів</t>
  </si>
  <si>
    <t xml:space="preserve">XOR за даними (М1, М2, М3, М4); XOR за подіями (М1 №5, М2 №4, М3 №19, М4 №4); ТА (М2 №14, 17)</t>
  </si>
  <si>
    <t xml:space="preserve">≥1 підпроцес</t>
  </si>
  <si>
    <t xml:space="preserve">Згорнутий «Перевірити документи клієнта» (М1 №10); розгорнутий «Скоринг заявки» (М3 №13)</t>
  </si>
  <si>
    <t xml:space="preserve">Три види подій</t>
  </si>
  <si>
    <t xml:space="preserve">Початкові — всі моделі; проміжні: повідомлення (М3 №4), таймер (М3 №7, №19), помилка на межі (М2 №15); кінцеві — всі моделі</t>
  </si>
  <si>
    <t xml:space="preserve">Потоки повідомлень між пулами</t>
  </si>
  <si>
    <t xml:space="preserve">М1: 4→8, 12/15/17→5; М2: клієнт↔банк↔процесинг; М3: 3→10, 17/18→4; М4: 3→7, 15→18, 10/13/16→4</t>
  </si>
  <si>
    <t xml:space="preserve">Артефакти даних</t>
  </si>
  <si>
    <t xml:space="preserve">Об'єкти: «Заявка на рахунок», «Переказ», «Заявка на кредит», «Графік платежів», «Платіжне доручення». Сховища: «Реєстр рахунків», «Журнал транзакцій»</t>
  </si>
  <si>
    <t xml:space="preserve">Анотації</t>
  </si>
  <si>
    <t xml:space="preserve">М1 №19; М2 №25; М3 №20, №23; М4 №21</t>
  </si>
  <si>
    <t xml:space="preserve">Кожна доріжка має ≥1 дію</t>
  </si>
  <si>
    <t xml:space="preserve">«Операціоніст» — М1 №10–11, М2 №12–13; «Ризик-менеджер» — М3 №15–16; «Система» — усі моделі</t>
  </si>
  <si>
    <t xml:space="preserve">User stories ≥15</t>
  </si>
  <si>
    <t xml:space="preserve">19 у таблиці 1</t>
  </si>
  <si>
    <t xml:space="preserve">Кожна story простежується до очікування</t>
  </si>
  <si>
    <t xml:space="preserve">Колонка «Трасування» таблиці 1 + таблиця 3</t>
  </si>
  <si>
    <t xml:space="preserve">Усі ролі легенди охоплені</t>
  </si>
  <si>
    <t xml:space="preserve">Таблиця 4</t>
  </si>
  <si>
    <t xml:space="preserve">Таблиця 10. Відкриті питання і порядок закриття (спринт 1)</t>
  </si>
  <si>
    <t xml:space="preserve">Питання</t>
  </si>
  <si>
    <t xml:space="preserve">Що зробити</t>
  </si>
  <si>
    <t xml:space="preserve">Хто / куди</t>
  </si>
  <si>
    <t xml:space="preserve">Закрито (дата, як саме)</t>
  </si>
  <si>
    <t xml:space="preserve">В1</t>
  </si>
  <si>
    <t xml:space="preserve">Заглушки у примітках: US-04, US-05, US-06 — межі суми, строку, ставки (SRS, розділ BL); US-08 — час відповіді (SRS, розділ P-); US-01 — контрольний приклад орієнтовний</t>
  </si>
  <si>
    <t xml:space="preserve">Підставити значення з SRS_02_ФінКит.html: межі — з розділу BL, час відповіді — з розділу P-. Перевірити, що контрольний приклад US-01 потрапляє в межі BL, інакше замінити числа. Якщо межі в SRS відсутні — заглушку замінити на «межа в SRS відсутня — кандидат у реєстр дефектів вимог (критерій повноти, спринт 2)»</t>
  </si>
  <si>
    <t xml:space="preserve">Тест-аналітик, до дня 7</t>
  </si>
  <si>
    <t xml:space="preserve">В2</t>
  </si>
  <si>
    <t xml:space="preserve">Пріоритети US-02 (переплата, О-1) і US-03 (графік, О-2): обидві — прямі складові очікувань, але стоять Medium, тоді як решта прямих stories — High</t>
  </si>
  <si>
    <t xml:space="preserve">Рішення однакове для обох: або підняти до High, або лишити Medium з обґрунтуванням із колонки I. Відповідь Тест-аналітика і Керівника тестування на демо має збігатися</t>
  </si>
  <si>
    <t xml:space="preserve">Тест-аналітик + КТ, до рецензії</t>
  </si>
  <si>
    <t xml:space="preserve">В3</t>
  </si>
  <si>
    <t xml:space="preserve">US-09: чи розкривати клієнту пороги скорингу у причині відмови</t>
  </si>
  <si>
    <t xml:space="preserve">Винести у перелік очікуваних питань замовника</t>
  </si>
  <si>
    <t xml:space="preserve">Аудитор-опонент, docs/sprint1/audit.md</t>
  </si>
  <si>
    <t xml:space="preserve">В4</t>
  </si>
  <si>
    <t xml:space="preserve">US-15: чи обов'язковий коментар ризик-менеджера до рішення</t>
  </si>
  <si>
    <t xml:space="preserve">В5</t>
  </si>
  <si>
    <t xml:space="preserve">Колонка «Статус»: усі 19 рядків — «чернетка»</t>
  </si>
  <si>
    <t xml:space="preserve">Після рецензії: без зауважень → «затверджено»; із прийнятим зауваженням → лишається «чернетка» до виправлення; свідома відмова → «відхилено», рядок не видаляється</t>
  </si>
  <si>
    <t xml:space="preserve">Скрам-майстер / Аудитор-опонент</t>
  </si>
  <si>
    <t xml:space="preserve">В6</t>
  </si>
  <si>
    <t xml:space="preserve">Перший внесок і рахунок зарахування відсутні у калькуляторі (О-1), але обов'язкові для заявки (процес 3, крок 1) — заявка з калькулятора (О-4) виходить неповною</t>
  </si>
  <si>
    <t xml:space="preserve">Уточнити в замовника: перший внесок стає входом калькулятора (змінює P у US-01) чи додається на кроці подання (US-19). До відповіді US-19 лишається чернеткою</t>
  </si>
  <si>
    <t xml:space="preserve">КТ → замовник; питання — у docs/sprint1/audit.md (АО)</t>
  </si>
  <si>
    <t xml:space="preserve">Зведення за статусами (формули рахують колонку G таблиці 1)</t>
  </si>
  <si>
    <t xml:space="preserve">Усього stories</t>
  </si>
  <si>
    <t xml:space="preserve">затверджено</t>
  </si>
  <si>
    <t xml:space="preserve">відхилено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</si>
</sst>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F10" activeCellId="0" sqref="F1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8"/>
    <col collapsed="false" customWidth="true" hidden="false" outlineLevel="0" max="3" min="3" style="1" width="40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28"/>
    <col collapsed="false" customWidth="true" hidden="false" outlineLevel="0" max="7" min="7" style="1" width="46"/>
    <col collapsed="false" customWidth="true" hidden="false" outlineLevel="0" max="8" min="8" style="1" width="22"/>
    <col collapsed="false" customWidth="true" hidden="false" outlineLevel="0" max="9" min="9" style="1" width="4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5" t="s">
        <v>9</v>
      </c>
      <c r="I3" s="5" t="s">
        <v>10</v>
      </c>
    </row>
    <row r="4" customFormat="false" ht="55.5" hidden="false" customHeight="true" outlineLevel="0" collapsed="false">
      <c r="A4" s="6" t="s">
        <v>11</v>
      </c>
      <c r="B4" s="6" t="s">
        <v>12</v>
      </c>
      <c r="C4" s="7" t="s">
        <v>13</v>
      </c>
      <c r="D4" s="7" t="s">
        <v>14</v>
      </c>
      <c r="E4" s="6" t="s">
        <v>15</v>
      </c>
      <c r="F4" s="7" t="s">
        <v>16</v>
      </c>
      <c r="G4" s="6" t="s">
        <v>17</v>
      </c>
      <c r="H4" s="8" t="s">
        <v>18</v>
      </c>
      <c r="I4" s="8" t="s">
        <v>19</v>
      </c>
    </row>
    <row r="5" customFormat="false" ht="55.5" hidden="false" customHeight="true" outlineLevel="0" collapsed="false">
      <c r="A5" s="6" t="s">
        <v>20</v>
      </c>
      <c r="B5" s="6" t="s">
        <v>12</v>
      </c>
      <c r="C5" s="7" t="s">
        <v>21</v>
      </c>
      <c r="D5" s="7" t="s">
        <v>22</v>
      </c>
      <c r="E5" s="6" t="s">
        <v>23</v>
      </c>
      <c r="F5" s="7" t="s">
        <v>24</v>
      </c>
      <c r="G5" s="6" t="s">
        <v>17</v>
      </c>
      <c r="H5" s="8" t="s">
        <v>18</v>
      </c>
      <c r="I5" s="8" t="s">
        <v>25</v>
      </c>
    </row>
    <row r="6" customFormat="false" ht="55.5" hidden="false" customHeight="true" outlineLevel="0" collapsed="false">
      <c r="A6" s="6" t="s">
        <v>26</v>
      </c>
      <c r="B6" s="6" t="s">
        <v>12</v>
      </c>
      <c r="C6" s="7" t="s">
        <v>27</v>
      </c>
      <c r="D6" s="7" t="s">
        <v>28</v>
      </c>
      <c r="E6" s="6" t="s">
        <v>23</v>
      </c>
      <c r="F6" s="7" t="s">
        <v>29</v>
      </c>
      <c r="G6" s="6" t="s">
        <v>17</v>
      </c>
      <c r="H6" s="8" t="s">
        <v>30</v>
      </c>
      <c r="I6" s="8" t="s">
        <v>31</v>
      </c>
    </row>
    <row r="7" customFormat="false" ht="55.5" hidden="false" customHeight="true" outlineLevel="0" collapsed="false">
      <c r="A7" s="6" t="s">
        <v>32</v>
      </c>
      <c r="B7" s="6" t="s">
        <v>12</v>
      </c>
      <c r="C7" s="7" t="s">
        <v>33</v>
      </c>
      <c r="D7" s="7" t="s">
        <v>34</v>
      </c>
      <c r="E7" s="6" t="s">
        <v>15</v>
      </c>
      <c r="F7" s="7" t="s">
        <v>35</v>
      </c>
      <c r="G7" s="6" t="s">
        <v>17</v>
      </c>
      <c r="H7" s="8" t="s">
        <v>36</v>
      </c>
      <c r="I7" s="8" t="s">
        <v>37</v>
      </c>
    </row>
    <row r="8" customFormat="false" ht="55.5" hidden="false" customHeight="true" outlineLevel="0" collapsed="false">
      <c r="A8" s="6" t="s">
        <v>38</v>
      </c>
      <c r="B8" s="6" t="s">
        <v>12</v>
      </c>
      <c r="C8" s="7" t="s">
        <v>39</v>
      </c>
      <c r="D8" s="7" t="s">
        <v>40</v>
      </c>
      <c r="E8" s="6" t="s">
        <v>15</v>
      </c>
      <c r="F8" s="7" t="s">
        <v>41</v>
      </c>
      <c r="G8" s="6" t="s">
        <v>17</v>
      </c>
      <c r="H8" s="8" t="s">
        <v>36</v>
      </c>
      <c r="I8" s="8" t="s">
        <v>42</v>
      </c>
    </row>
    <row r="9" customFormat="false" ht="55.5" hidden="false" customHeight="true" outlineLevel="0" collapsed="false">
      <c r="A9" s="6" t="s">
        <v>43</v>
      </c>
      <c r="B9" s="6" t="s">
        <v>12</v>
      </c>
      <c r="C9" s="7" t="s">
        <v>44</v>
      </c>
      <c r="D9" s="7" t="s">
        <v>45</v>
      </c>
      <c r="E9" s="6" t="s">
        <v>15</v>
      </c>
      <c r="F9" s="7" t="s">
        <v>46</v>
      </c>
      <c r="G9" s="6" t="s">
        <v>17</v>
      </c>
      <c r="H9" s="8" t="s">
        <v>36</v>
      </c>
      <c r="I9" s="8" t="s">
        <v>47</v>
      </c>
    </row>
    <row r="10" customFormat="false" ht="55.5" hidden="false" customHeight="true" outlineLevel="0" collapsed="false">
      <c r="A10" s="6" t="s">
        <v>48</v>
      </c>
      <c r="B10" s="6" t="s">
        <v>12</v>
      </c>
      <c r="C10" s="7" t="s">
        <v>49</v>
      </c>
      <c r="D10" s="7" t="s">
        <v>50</v>
      </c>
      <c r="E10" s="6" t="s">
        <v>15</v>
      </c>
      <c r="F10" s="7" t="s">
        <v>51</v>
      </c>
      <c r="G10" s="6" t="s">
        <v>17</v>
      </c>
      <c r="H10" s="8" t="s">
        <v>52</v>
      </c>
      <c r="I10" s="8" t="s">
        <v>53</v>
      </c>
    </row>
    <row r="11" customFormat="false" ht="55.5" hidden="false" customHeight="true" outlineLevel="0" collapsed="false">
      <c r="A11" s="6" t="s">
        <v>54</v>
      </c>
      <c r="B11" s="6" t="s">
        <v>12</v>
      </c>
      <c r="C11" s="7" t="s">
        <v>55</v>
      </c>
      <c r="D11" s="7" t="s">
        <v>56</v>
      </c>
      <c r="E11" s="6" t="s">
        <v>15</v>
      </c>
      <c r="F11" s="7" t="s">
        <v>57</v>
      </c>
      <c r="G11" s="6" t="s">
        <v>17</v>
      </c>
      <c r="H11" s="8" t="s">
        <v>52</v>
      </c>
      <c r="I11" s="8" t="s">
        <v>58</v>
      </c>
    </row>
    <row r="12" customFormat="false" ht="55.5" hidden="false" customHeight="true" outlineLevel="0" collapsed="false">
      <c r="A12" s="6" t="s">
        <v>59</v>
      </c>
      <c r="B12" s="6" t="s">
        <v>12</v>
      </c>
      <c r="C12" s="7" t="s">
        <v>60</v>
      </c>
      <c r="D12" s="7" t="s">
        <v>61</v>
      </c>
      <c r="E12" s="6" t="s">
        <v>23</v>
      </c>
      <c r="F12" s="7" t="s">
        <v>62</v>
      </c>
      <c r="G12" s="6" t="s">
        <v>17</v>
      </c>
      <c r="H12" s="8" t="s">
        <v>63</v>
      </c>
      <c r="I12" s="8" t="s">
        <v>64</v>
      </c>
    </row>
    <row r="13" customFormat="false" ht="55.5" hidden="false" customHeight="true" outlineLevel="0" collapsed="false">
      <c r="A13" s="6" t="s">
        <v>65</v>
      </c>
      <c r="B13" s="6" t="s">
        <v>12</v>
      </c>
      <c r="C13" s="7" t="s">
        <v>66</v>
      </c>
      <c r="D13" s="7" t="s">
        <v>67</v>
      </c>
      <c r="E13" s="6" t="s">
        <v>15</v>
      </c>
      <c r="F13" s="7" t="s">
        <v>68</v>
      </c>
      <c r="G13" s="6" t="s">
        <v>17</v>
      </c>
      <c r="H13" s="8" t="s">
        <v>69</v>
      </c>
      <c r="I13" s="8" t="s">
        <v>70</v>
      </c>
    </row>
    <row r="14" customFormat="false" ht="55.5" hidden="false" customHeight="true" outlineLevel="0" collapsed="false">
      <c r="A14" s="6" t="s">
        <v>71</v>
      </c>
      <c r="B14" s="6" t="s">
        <v>12</v>
      </c>
      <c r="C14" s="7" t="s">
        <v>72</v>
      </c>
      <c r="D14" s="7" t="s">
        <v>73</v>
      </c>
      <c r="E14" s="6" t="s">
        <v>23</v>
      </c>
      <c r="F14" s="7" t="s">
        <v>74</v>
      </c>
      <c r="G14" s="6" t="s">
        <v>17</v>
      </c>
      <c r="H14" s="8" t="s">
        <v>69</v>
      </c>
      <c r="I14" s="8" t="s">
        <v>75</v>
      </c>
    </row>
    <row r="15" customFormat="false" ht="55.5" hidden="false" customHeight="true" outlineLevel="0" collapsed="false">
      <c r="A15" s="6" t="s">
        <v>76</v>
      </c>
      <c r="B15" s="6" t="s">
        <v>12</v>
      </c>
      <c r="C15" s="7" t="s">
        <v>77</v>
      </c>
      <c r="D15" s="7" t="s">
        <v>78</v>
      </c>
      <c r="E15" s="6" t="s">
        <v>23</v>
      </c>
      <c r="F15" s="7" t="s">
        <v>79</v>
      </c>
      <c r="G15" s="6" t="s">
        <v>17</v>
      </c>
      <c r="H15" s="8" t="s">
        <v>80</v>
      </c>
      <c r="I15" s="8" t="s">
        <v>81</v>
      </c>
    </row>
    <row r="16" customFormat="false" ht="55.5" hidden="false" customHeight="true" outlineLevel="0" collapsed="false">
      <c r="A16" s="6" t="s">
        <v>82</v>
      </c>
      <c r="B16" s="6" t="s">
        <v>83</v>
      </c>
      <c r="C16" s="7" t="s">
        <v>84</v>
      </c>
      <c r="D16" s="7" t="s">
        <v>85</v>
      </c>
      <c r="E16" s="6" t="s">
        <v>15</v>
      </c>
      <c r="F16" s="7" t="s">
        <v>86</v>
      </c>
      <c r="G16" s="6" t="s">
        <v>17</v>
      </c>
      <c r="H16" s="8" t="s">
        <v>87</v>
      </c>
      <c r="I16" s="8" t="s">
        <v>88</v>
      </c>
    </row>
    <row r="17" customFormat="false" ht="55.5" hidden="false" customHeight="true" outlineLevel="0" collapsed="false">
      <c r="A17" s="6" t="s">
        <v>89</v>
      </c>
      <c r="B17" s="6" t="s">
        <v>83</v>
      </c>
      <c r="C17" s="7" t="s">
        <v>90</v>
      </c>
      <c r="D17" s="7" t="s">
        <v>91</v>
      </c>
      <c r="E17" s="6" t="s">
        <v>15</v>
      </c>
      <c r="F17" s="7" t="s">
        <v>92</v>
      </c>
      <c r="G17" s="6" t="s">
        <v>17</v>
      </c>
      <c r="H17" s="8" t="s">
        <v>87</v>
      </c>
      <c r="I17" s="8" t="s">
        <v>93</v>
      </c>
    </row>
    <row r="18" customFormat="false" ht="55.5" hidden="false" customHeight="true" outlineLevel="0" collapsed="false">
      <c r="A18" s="6" t="s">
        <v>94</v>
      </c>
      <c r="B18" s="6" t="s">
        <v>83</v>
      </c>
      <c r="C18" s="7" t="s">
        <v>95</v>
      </c>
      <c r="D18" s="7" t="s">
        <v>96</v>
      </c>
      <c r="E18" s="6" t="s">
        <v>23</v>
      </c>
      <c r="F18" s="7" t="s">
        <v>97</v>
      </c>
      <c r="G18" s="6" t="s">
        <v>17</v>
      </c>
      <c r="H18" s="8" t="s">
        <v>98</v>
      </c>
      <c r="I18" s="8" t="s">
        <v>99</v>
      </c>
    </row>
    <row r="19" customFormat="false" ht="55.5" hidden="false" customHeight="true" outlineLevel="0" collapsed="false">
      <c r="A19" s="6" t="s">
        <v>100</v>
      </c>
      <c r="B19" s="6" t="s">
        <v>101</v>
      </c>
      <c r="C19" s="7" t="s">
        <v>102</v>
      </c>
      <c r="D19" s="7" t="s">
        <v>103</v>
      </c>
      <c r="E19" s="6" t="s">
        <v>23</v>
      </c>
      <c r="F19" s="7" t="s">
        <v>104</v>
      </c>
      <c r="G19" s="6" t="s">
        <v>17</v>
      </c>
      <c r="H19" s="8" t="s">
        <v>105</v>
      </c>
      <c r="I19" s="8" t="s">
        <v>106</v>
      </c>
    </row>
    <row r="20" customFormat="false" ht="55.5" hidden="false" customHeight="true" outlineLevel="0" collapsed="false">
      <c r="A20" s="6" t="s">
        <v>107</v>
      </c>
      <c r="B20" s="6" t="s">
        <v>101</v>
      </c>
      <c r="C20" s="7" t="s">
        <v>108</v>
      </c>
      <c r="D20" s="7" t="s">
        <v>109</v>
      </c>
      <c r="E20" s="6" t="s">
        <v>110</v>
      </c>
      <c r="F20" s="7" t="s">
        <v>111</v>
      </c>
      <c r="G20" s="6" t="s">
        <v>17</v>
      </c>
      <c r="H20" s="8" t="s">
        <v>105</v>
      </c>
      <c r="I20" s="8" t="s">
        <v>112</v>
      </c>
    </row>
    <row r="21" customFormat="false" ht="55.5" hidden="false" customHeight="true" outlineLevel="0" collapsed="false">
      <c r="A21" s="6" t="s">
        <v>113</v>
      </c>
      <c r="B21" s="6" t="s">
        <v>114</v>
      </c>
      <c r="C21" s="7" t="s">
        <v>115</v>
      </c>
      <c r="D21" s="7" t="s">
        <v>116</v>
      </c>
      <c r="E21" s="6" t="s">
        <v>110</v>
      </c>
      <c r="F21" s="7" t="s">
        <v>117</v>
      </c>
      <c r="G21" s="6" t="s">
        <v>17</v>
      </c>
      <c r="H21" s="8" t="s">
        <v>63</v>
      </c>
      <c r="I21" s="8" t="s">
        <v>118</v>
      </c>
    </row>
    <row r="22" customFormat="false" ht="55.5" hidden="false" customHeight="true" outlineLevel="0" collapsed="false">
      <c r="A22" s="6" t="s">
        <v>119</v>
      </c>
      <c r="B22" s="6" t="s">
        <v>12</v>
      </c>
      <c r="C22" s="7" t="s">
        <v>120</v>
      </c>
      <c r="D22" s="7" t="s">
        <v>121</v>
      </c>
      <c r="E22" s="6" t="s">
        <v>15</v>
      </c>
      <c r="F22" s="7" t="s">
        <v>122</v>
      </c>
      <c r="G22" s="6" t="s">
        <v>17</v>
      </c>
      <c r="H22" s="8" t="s">
        <v>63</v>
      </c>
      <c r="I22" s="8" t="s">
        <v>123</v>
      </c>
    </row>
    <row r="29" customFormat="false" ht="55.5" hidden="false" customHeight="true" outlineLevel="0" collapsed="false"/>
    <row r="30" customFormat="false" ht="55.5" hidden="false" customHeight="true" outlineLevel="0" collapsed="false"/>
    <row r="31" customFormat="false" ht="55.5" hidden="false" customHeight="true" outlineLevel="0" collapsed="false"/>
    <row r="32" customFormat="false" ht="55.5" hidden="false" customHeight="true" outlineLevel="0" collapsed="false"/>
    <row r="33" customFormat="false" ht="55.5" hidden="false" customHeight="true" outlineLevel="0" collapsed="false"/>
    <row r="34" customFormat="false" ht="55.5" hidden="false" customHeight="true" outlineLevel="0" collapsed="false"/>
    <row r="35" customFormat="false" ht="55.5" hidden="false" customHeight="true" outlineLevel="0" collapsed="false"/>
    <row r="36" customFormat="false" ht="55.5" hidden="false" customHeight="true" outlineLevel="0" collapsed="false"/>
    <row r="41" customFormat="false" ht="55.5" hidden="false" customHeight="true" outlineLevel="0" collapsed="false"/>
    <row r="42" customFormat="false" ht="55.5" hidden="false" customHeight="true" outlineLevel="0" collapsed="false"/>
    <row r="43" customFormat="false" ht="55.5" hidden="false" customHeight="true" outlineLevel="0" collapsed="false"/>
    <row r="44" customFormat="false" ht="55.5" hidden="false" customHeight="true" outlineLevel="0" collapsed="false"/>
    <row r="45" customFormat="false" ht="55.5" hidden="false" customHeight="true" outlineLevel="0" collapsed="false"/>
    <row r="46" customFormat="false" ht="55.5" hidden="false" customHeight="true" outlineLevel="0" collapsed="false"/>
    <row r="47" customFormat="false" ht="55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52"/>
    <col collapsed="false" customWidth="true" hidden="false" outlineLevel="0" max="3" min="3" style="1" width="38"/>
    <col collapsed="false" customWidth="true" hidden="false" outlineLevel="0" max="4" min="4" style="1" width="22"/>
  </cols>
  <sheetData>
    <row r="1" customFormat="false" ht="15" hidden="false" customHeight="true" outlineLevel="0" collapsed="false">
      <c r="A1" s="2" t="s">
        <v>124</v>
      </c>
    </row>
    <row r="2" customFormat="false" ht="15" hidden="false" customHeight="false" outlineLevel="0" collapsed="false">
      <c r="A2" s="3" t="s">
        <v>125</v>
      </c>
    </row>
    <row r="3" customFormat="false" ht="15" hidden="false" customHeight="true" outlineLevel="0" collapsed="false">
      <c r="A3" s="5" t="s">
        <v>2</v>
      </c>
      <c r="B3" s="5" t="s">
        <v>126</v>
      </c>
      <c r="C3" s="5" t="s">
        <v>127</v>
      </c>
      <c r="D3" s="5" t="s">
        <v>128</v>
      </c>
    </row>
    <row r="4" customFormat="false" ht="34.5" hidden="false" customHeight="true" outlineLevel="0" collapsed="false">
      <c r="A4" s="8" t="s">
        <v>129</v>
      </c>
      <c r="B4" s="8" t="s">
        <v>130</v>
      </c>
      <c r="C4" s="8" t="s">
        <v>131</v>
      </c>
      <c r="D4" s="8" t="s">
        <v>12</v>
      </c>
    </row>
    <row r="5" customFormat="false" ht="23.25" hidden="false" customHeight="true" outlineLevel="0" collapsed="false">
      <c r="A5" s="8" t="s">
        <v>132</v>
      </c>
      <c r="B5" s="8" t="s">
        <v>133</v>
      </c>
      <c r="C5" s="8" t="s">
        <v>134</v>
      </c>
      <c r="D5" s="8" t="s">
        <v>12</v>
      </c>
    </row>
    <row r="6" customFormat="false" ht="23.25" hidden="false" customHeight="true" outlineLevel="0" collapsed="false">
      <c r="A6" s="8" t="s">
        <v>135</v>
      </c>
      <c r="B6" s="8" t="s">
        <v>136</v>
      </c>
      <c r="C6" s="8" t="s">
        <v>137</v>
      </c>
      <c r="D6" s="8" t="s">
        <v>138</v>
      </c>
    </row>
    <row r="7" customFormat="false" ht="23.25" hidden="false" customHeight="true" outlineLevel="0" collapsed="false">
      <c r="A7" s="8" t="s">
        <v>139</v>
      </c>
      <c r="B7" s="8" t="s">
        <v>140</v>
      </c>
      <c r="C7" s="8" t="s">
        <v>141</v>
      </c>
      <c r="D7" s="8" t="s">
        <v>142</v>
      </c>
    </row>
    <row r="8" customFormat="false" ht="23.25" hidden="false" customHeight="true" outlineLevel="0" collapsed="false">
      <c r="A8" s="8" t="s">
        <v>143</v>
      </c>
      <c r="B8" s="8" t="s">
        <v>144</v>
      </c>
      <c r="C8" s="8" t="s">
        <v>145</v>
      </c>
      <c r="D8" s="8" t="s">
        <v>83</v>
      </c>
    </row>
    <row r="9" customFormat="false" ht="23.25" hidden="false" customHeight="true" outlineLevel="0" collapsed="false">
      <c r="A9" s="8" t="s">
        <v>146</v>
      </c>
      <c r="B9" s="8" t="s">
        <v>147</v>
      </c>
      <c r="C9" s="8" t="s">
        <v>148</v>
      </c>
      <c r="D9" s="8" t="s">
        <v>12</v>
      </c>
    </row>
    <row r="11" customFormat="false" ht="247.5" hidden="false" customHeight="true" outlineLevel="0" collapsed="false">
      <c r="A11" s="9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0"/>
    <col collapsed="false" customWidth="true" hidden="false" outlineLevel="0" max="3" min="3" style="1" width="26"/>
    <col collapsed="false" customWidth="true" hidden="false" outlineLevel="0" max="4" min="4" style="1" width="22"/>
    <col collapsed="false" customWidth="true" hidden="false" outlineLevel="0" max="5" min="5" style="1" width="11"/>
  </cols>
  <sheetData>
    <row r="1" customFormat="false" ht="15" hidden="false" customHeight="true" outlineLevel="0" collapsed="false">
      <c r="A1" s="2" t="s">
        <v>150</v>
      </c>
    </row>
    <row r="2" customFormat="false" ht="15" hidden="false" customHeight="false" outlineLevel="0" collapsed="false">
      <c r="A2" s="3" t="s">
        <v>125</v>
      </c>
    </row>
    <row r="3" customFormat="false" ht="15" hidden="false" customHeight="true" outlineLevel="0" collapsed="false">
      <c r="A3" s="5" t="s">
        <v>2</v>
      </c>
      <c r="B3" s="5" t="s">
        <v>151</v>
      </c>
      <c r="C3" s="5" t="s">
        <v>152</v>
      </c>
      <c r="D3" s="5" t="s">
        <v>153</v>
      </c>
      <c r="E3" s="5" t="s">
        <v>154</v>
      </c>
    </row>
    <row r="4" customFormat="false" ht="15" hidden="false" customHeight="true" outlineLevel="0" collapsed="false">
      <c r="A4" s="8" t="s">
        <v>129</v>
      </c>
      <c r="B4" s="8" t="s">
        <v>155</v>
      </c>
      <c r="C4" s="8" t="s">
        <v>156</v>
      </c>
      <c r="D4" s="8" t="s">
        <v>157</v>
      </c>
      <c r="E4" s="8" t="s">
        <v>158</v>
      </c>
    </row>
    <row r="5" customFormat="false" ht="15" hidden="false" customHeight="true" outlineLevel="0" collapsed="false">
      <c r="A5" s="8" t="s">
        <v>132</v>
      </c>
      <c r="B5" s="8" t="s">
        <v>159</v>
      </c>
      <c r="C5" s="8" t="s">
        <v>26</v>
      </c>
      <c r="D5" s="8" t="s">
        <v>157</v>
      </c>
      <c r="E5" s="8" t="s">
        <v>158</v>
      </c>
    </row>
    <row r="6" customFormat="false" ht="15" hidden="false" customHeight="true" outlineLevel="0" collapsed="false">
      <c r="A6" s="8" t="s">
        <v>135</v>
      </c>
      <c r="B6" s="8" t="s">
        <v>160</v>
      </c>
      <c r="C6" s="8" t="s">
        <v>161</v>
      </c>
      <c r="D6" s="8" t="s">
        <v>162</v>
      </c>
      <c r="E6" s="8" t="s">
        <v>158</v>
      </c>
    </row>
    <row r="7" customFormat="false" ht="15" hidden="false" customHeight="true" outlineLevel="0" collapsed="false">
      <c r="A7" s="8" t="s">
        <v>139</v>
      </c>
      <c r="B7" s="8" t="s">
        <v>163</v>
      </c>
      <c r="C7" s="8" t="s">
        <v>164</v>
      </c>
      <c r="D7" s="8" t="s">
        <v>165</v>
      </c>
      <c r="E7" s="8" t="s">
        <v>158</v>
      </c>
    </row>
    <row r="8" customFormat="false" ht="15" hidden="false" customHeight="true" outlineLevel="0" collapsed="false">
      <c r="A8" s="8" t="s">
        <v>143</v>
      </c>
      <c r="B8" s="8" t="s">
        <v>166</v>
      </c>
      <c r="C8" s="8" t="s">
        <v>167</v>
      </c>
      <c r="D8" s="8" t="s">
        <v>94</v>
      </c>
      <c r="E8" s="8" t="s">
        <v>158</v>
      </c>
    </row>
    <row r="9" customFormat="false" ht="15" hidden="false" customHeight="true" outlineLevel="0" collapsed="false">
      <c r="A9" s="8" t="s">
        <v>146</v>
      </c>
      <c r="B9" s="8" t="s">
        <v>168</v>
      </c>
      <c r="C9" s="8" t="s">
        <v>169</v>
      </c>
      <c r="D9" s="8" t="s">
        <v>76</v>
      </c>
      <c r="E9" s="8" t="s">
        <v>158</v>
      </c>
    </row>
    <row r="11" customFormat="false" ht="281.25" hidden="false" customHeight="true" outlineLevel="0" collapsed="false">
      <c r="A11" s="9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3" min="2" style="1" width="44"/>
    <col collapsed="false" customWidth="true" hidden="false" outlineLevel="0" max="4" min="4" style="1" width="20"/>
  </cols>
  <sheetData>
    <row r="1" customFormat="false" ht="15" hidden="false" customHeight="true" outlineLevel="0" collapsed="false">
      <c r="A1" s="2" t="s">
        <v>171</v>
      </c>
    </row>
    <row r="2" customFormat="false" ht="15" hidden="false" customHeight="false" outlineLevel="0" collapsed="false">
      <c r="A2" s="3" t="s">
        <v>125</v>
      </c>
    </row>
    <row r="3" customFormat="false" ht="15" hidden="false" customHeight="true" outlineLevel="0" collapsed="false">
      <c r="A3" s="5" t="s">
        <v>172</v>
      </c>
      <c r="B3" s="5" t="s">
        <v>173</v>
      </c>
      <c r="C3" s="5" t="s">
        <v>174</v>
      </c>
      <c r="D3" s="5" t="s">
        <v>175</v>
      </c>
    </row>
    <row r="4" customFormat="false" ht="23.25" hidden="false" customHeight="true" outlineLevel="0" collapsed="false">
      <c r="A4" s="8" t="s">
        <v>12</v>
      </c>
      <c r="B4" s="8" t="s">
        <v>176</v>
      </c>
      <c r="C4" s="8" t="s">
        <v>177</v>
      </c>
      <c r="D4" s="8" t="s">
        <v>178</v>
      </c>
    </row>
    <row r="5" customFormat="false" ht="23.25" hidden="false" customHeight="true" outlineLevel="0" collapsed="false">
      <c r="A5" s="8" t="s">
        <v>83</v>
      </c>
      <c r="B5" s="8" t="s">
        <v>179</v>
      </c>
      <c r="C5" s="8" t="s">
        <v>180</v>
      </c>
      <c r="D5" s="8" t="s">
        <v>181</v>
      </c>
    </row>
    <row r="6" customFormat="false" ht="23.25" hidden="false" customHeight="true" outlineLevel="0" collapsed="false">
      <c r="A6" s="8" t="s">
        <v>101</v>
      </c>
      <c r="B6" s="8" t="s">
        <v>182</v>
      </c>
      <c r="C6" s="8" t="s">
        <v>183</v>
      </c>
      <c r="D6" s="8" t="s">
        <v>162</v>
      </c>
    </row>
    <row r="7" customFormat="false" ht="23.25" hidden="false" customHeight="true" outlineLevel="0" collapsed="false">
      <c r="A7" s="8" t="s">
        <v>114</v>
      </c>
      <c r="B7" s="8" t="s">
        <v>184</v>
      </c>
      <c r="C7" s="8" t="s">
        <v>185</v>
      </c>
      <c r="D7" s="8" t="s">
        <v>113</v>
      </c>
    </row>
    <row r="9" customFormat="false" ht="124.5" hidden="false" customHeight="true" outlineLevel="0" collapsed="false">
      <c r="A9" s="9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30"/>
    <col collapsed="false" customWidth="true" hidden="false" outlineLevel="0" max="4" min="4" style="1" width="70"/>
  </cols>
  <sheetData>
    <row r="1" customFormat="false" ht="15" hidden="false" customHeight="true" outlineLevel="0" collapsed="false">
      <c r="A1" s="2" t="s">
        <v>187</v>
      </c>
    </row>
    <row r="2" customFormat="false" ht="15" hidden="false" customHeight="false" outlineLevel="0" collapsed="false">
      <c r="A2" s="3" t="s">
        <v>125</v>
      </c>
    </row>
    <row r="3" customFormat="false" ht="15" hidden="false" customHeight="true" outlineLevel="0" collapsed="false">
      <c r="A3" s="5" t="s">
        <v>188</v>
      </c>
      <c r="B3" s="5" t="s">
        <v>189</v>
      </c>
      <c r="C3" s="5" t="s">
        <v>190</v>
      </c>
      <c r="D3" s="5" t="s">
        <v>191</v>
      </c>
    </row>
    <row r="4" customFormat="false" ht="15" hidden="false" customHeight="true" outlineLevel="0" collapsed="false">
      <c r="A4" s="8" t="n">
        <v>1</v>
      </c>
      <c r="B4" s="8" t="s">
        <v>12</v>
      </c>
      <c r="C4" s="8" t="s">
        <v>192</v>
      </c>
      <c r="D4" s="8" t="s">
        <v>193</v>
      </c>
    </row>
    <row r="5" customFormat="false" ht="23.25" hidden="false" customHeight="true" outlineLevel="0" collapsed="false">
      <c r="A5" s="8" t="n">
        <v>2</v>
      </c>
      <c r="B5" s="8" t="s">
        <v>12</v>
      </c>
      <c r="C5" s="8" t="s">
        <v>194</v>
      </c>
      <c r="D5" s="8" t="s">
        <v>195</v>
      </c>
    </row>
    <row r="6" customFormat="false" ht="15" hidden="false" customHeight="true" outlineLevel="0" collapsed="false">
      <c r="A6" s="8" t="n">
        <v>3</v>
      </c>
      <c r="B6" s="8" t="s">
        <v>12</v>
      </c>
      <c r="C6" s="8" t="s">
        <v>194</v>
      </c>
      <c r="D6" s="8" t="s">
        <v>196</v>
      </c>
    </row>
    <row r="7" customFormat="false" ht="23.25" hidden="false" customHeight="true" outlineLevel="0" collapsed="false">
      <c r="A7" s="8" t="n">
        <v>4</v>
      </c>
      <c r="B7" s="8" t="s">
        <v>12</v>
      </c>
      <c r="C7" s="8" t="s">
        <v>197</v>
      </c>
      <c r="D7" s="8" t="s">
        <v>198</v>
      </c>
    </row>
    <row r="8" customFormat="false" ht="15" hidden="false" customHeight="true" outlineLevel="0" collapsed="false">
      <c r="A8" s="8" t="n">
        <v>5</v>
      </c>
      <c r="B8" s="8" t="s">
        <v>12</v>
      </c>
      <c r="C8" s="8" t="s">
        <v>199</v>
      </c>
      <c r="D8" s="8" t="s">
        <v>200</v>
      </c>
    </row>
    <row r="9" customFormat="false" ht="15" hidden="false" customHeight="true" outlineLevel="0" collapsed="false">
      <c r="A9" s="8" t="n">
        <v>6</v>
      </c>
      <c r="B9" s="8" t="s">
        <v>12</v>
      </c>
      <c r="C9" s="8" t="s">
        <v>201</v>
      </c>
      <c r="D9" s="8" t="s">
        <v>202</v>
      </c>
    </row>
    <row r="10" customFormat="false" ht="15" hidden="false" customHeight="true" outlineLevel="0" collapsed="false">
      <c r="A10" s="8" t="n">
        <v>7</v>
      </c>
      <c r="B10" s="8" t="s">
        <v>12</v>
      </c>
      <c r="C10" s="8" t="s">
        <v>201</v>
      </c>
      <c r="D10" s="8" t="s">
        <v>203</v>
      </c>
    </row>
    <row r="11" customFormat="false" ht="15" hidden="false" customHeight="true" outlineLevel="0" collapsed="false">
      <c r="A11" s="8" t="n">
        <v>8</v>
      </c>
      <c r="B11" s="8" t="s">
        <v>204</v>
      </c>
      <c r="C11" s="8" t="s">
        <v>205</v>
      </c>
      <c r="D11" s="8" t="s">
        <v>206</v>
      </c>
    </row>
    <row r="12" customFormat="false" ht="15" hidden="false" customHeight="true" outlineLevel="0" collapsed="false">
      <c r="A12" s="8" t="n">
        <v>9</v>
      </c>
      <c r="B12" s="8" t="s">
        <v>204</v>
      </c>
      <c r="C12" s="8" t="s">
        <v>207</v>
      </c>
      <c r="D12" s="8" t="s">
        <v>208</v>
      </c>
    </row>
    <row r="13" customFormat="false" ht="23.25" hidden="false" customHeight="true" outlineLevel="0" collapsed="false">
      <c r="A13" s="8" t="n">
        <v>10</v>
      </c>
      <c r="B13" s="8" t="s">
        <v>209</v>
      </c>
      <c r="C13" s="8" t="s">
        <v>210</v>
      </c>
      <c r="D13" s="8" t="s">
        <v>211</v>
      </c>
    </row>
    <row r="14" customFormat="false" ht="15" hidden="false" customHeight="true" outlineLevel="0" collapsed="false">
      <c r="A14" s="8" t="n">
        <v>11</v>
      </c>
      <c r="B14" s="8" t="s">
        <v>209</v>
      </c>
      <c r="C14" s="8" t="s">
        <v>207</v>
      </c>
      <c r="D14" s="8" t="s">
        <v>212</v>
      </c>
    </row>
    <row r="15" customFormat="false" ht="23.25" hidden="false" customHeight="true" outlineLevel="0" collapsed="false">
      <c r="A15" s="8" t="n">
        <v>12</v>
      </c>
      <c r="B15" s="8" t="s">
        <v>204</v>
      </c>
      <c r="C15" s="8" t="s">
        <v>197</v>
      </c>
      <c r="D15" s="8" t="s">
        <v>213</v>
      </c>
    </row>
    <row r="16" customFormat="false" ht="23.25" hidden="false" customHeight="true" outlineLevel="0" collapsed="false">
      <c r="A16" s="8" t="n">
        <v>13</v>
      </c>
      <c r="B16" s="8" t="s">
        <v>204</v>
      </c>
      <c r="C16" s="8" t="s">
        <v>194</v>
      </c>
      <c r="D16" s="8" t="s">
        <v>214</v>
      </c>
    </row>
    <row r="17" customFormat="false" ht="15" hidden="false" customHeight="true" outlineLevel="0" collapsed="false">
      <c r="A17" s="8" t="n">
        <v>14</v>
      </c>
      <c r="B17" s="8" t="s">
        <v>204</v>
      </c>
      <c r="C17" s="8" t="s">
        <v>207</v>
      </c>
      <c r="D17" s="8" t="s">
        <v>215</v>
      </c>
    </row>
    <row r="18" customFormat="false" ht="23.25" hidden="false" customHeight="true" outlineLevel="0" collapsed="false">
      <c r="A18" s="8" t="n">
        <v>15</v>
      </c>
      <c r="B18" s="8" t="s">
        <v>204</v>
      </c>
      <c r="C18" s="8" t="s">
        <v>197</v>
      </c>
      <c r="D18" s="8" t="s">
        <v>216</v>
      </c>
    </row>
    <row r="19" customFormat="false" ht="15" hidden="false" customHeight="true" outlineLevel="0" collapsed="false">
      <c r="A19" s="8" t="n">
        <v>16</v>
      </c>
      <c r="B19" s="8" t="s">
        <v>204</v>
      </c>
      <c r="C19" s="8" t="s">
        <v>194</v>
      </c>
      <c r="D19" s="8" t="s">
        <v>217</v>
      </c>
    </row>
    <row r="20" customFormat="false" ht="23.25" hidden="false" customHeight="true" outlineLevel="0" collapsed="false">
      <c r="A20" s="8" t="n">
        <v>17</v>
      </c>
      <c r="B20" s="8" t="s">
        <v>204</v>
      </c>
      <c r="C20" s="8" t="s">
        <v>197</v>
      </c>
      <c r="D20" s="8" t="s">
        <v>218</v>
      </c>
    </row>
    <row r="21" customFormat="false" ht="15" hidden="false" customHeight="true" outlineLevel="0" collapsed="false">
      <c r="A21" s="8" t="n">
        <v>18</v>
      </c>
      <c r="B21" s="8" t="s">
        <v>204</v>
      </c>
      <c r="C21" s="8" t="s">
        <v>201</v>
      </c>
      <c r="D21" s="8" t="s">
        <v>202</v>
      </c>
    </row>
    <row r="22" customFormat="false" ht="23.25" hidden="false" customHeight="true" outlineLevel="0" collapsed="false">
      <c r="A22" s="8" t="n">
        <v>19</v>
      </c>
      <c r="B22" s="8" t="s">
        <v>157</v>
      </c>
      <c r="C22" s="8" t="s">
        <v>219</v>
      </c>
      <c r="D22" s="8" t="s">
        <v>220</v>
      </c>
    </row>
    <row r="24" customFormat="false" ht="281.25" hidden="false" customHeight="true" outlineLevel="0" collapsed="false">
      <c r="A24" s="9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30"/>
    <col collapsed="false" customWidth="true" hidden="false" outlineLevel="0" max="4" min="4" style="1" width="70"/>
  </cols>
  <sheetData>
    <row r="1" customFormat="false" ht="15" hidden="false" customHeight="true" outlineLevel="0" collapsed="false">
      <c r="A1" s="2" t="s">
        <v>222</v>
      </c>
    </row>
    <row r="2" customFormat="false" ht="15" hidden="false" customHeight="false" outlineLevel="0" collapsed="false">
      <c r="A2" s="3" t="s">
        <v>125</v>
      </c>
    </row>
    <row r="3" customFormat="false" ht="15" hidden="false" customHeight="true" outlineLevel="0" collapsed="false">
      <c r="A3" s="5" t="s">
        <v>188</v>
      </c>
      <c r="B3" s="5" t="s">
        <v>189</v>
      </c>
      <c r="C3" s="5" t="s">
        <v>190</v>
      </c>
      <c r="D3" s="5" t="s">
        <v>191</v>
      </c>
    </row>
    <row r="4" customFormat="false" ht="15" hidden="false" customHeight="true" outlineLevel="0" collapsed="false">
      <c r="A4" s="8" t="n">
        <v>1</v>
      </c>
      <c r="B4" s="8" t="s">
        <v>12</v>
      </c>
      <c r="C4" s="8" t="s">
        <v>192</v>
      </c>
      <c r="D4" s="8" t="s">
        <v>223</v>
      </c>
    </row>
    <row r="5" customFormat="false" ht="23.25" hidden="false" customHeight="true" outlineLevel="0" collapsed="false">
      <c r="A5" s="8" t="n">
        <v>2</v>
      </c>
      <c r="B5" s="8" t="s">
        <v>12</v>
      </c>
      <c r="C5" s="8" t="s">
        <v>194</v>
      </c>
      <c r="D5" s="8" t="s">
        <v>224</v>
      </c>
    </row>
    <row r="6" customFormat="false" ht="23.25" hidden="false" customHeight="true" outlineLevel="0" collapsed="false">
      <c r="A6" s="8" t="n">
        <v>3</v>
      </c>
      <c r="B6" s="8" t="s">
        <v>12</v>
      </c>
      <c r="C6" s="8" t="s">
        <v>197</v>
      </c>
      <c r="D6" s="8" t="s">
        <v>225</v>
      </c>
    </row>
    <row r="7" customFormat="false" ht="15" hidden="false" customHeight="true" outlineLevel="0" collapsed="false">
      <c r="A7" s="8" t="n">
        <v>4</v>
      </c>
      <c r="B7" s="8" t="s">
        <v>12</v>
      </c>
      <c r="C7" s="8" t="s">
        <v>199</v>
      </c>
      <c r="D7" s="8" t="s">
        <v>226</v>
      </c>
    </row>
    <row r="8" customFormat="false" ht="15" hidden="false" customHeight="true" outlineLevel="0" collapsed="false">
      <c r="A8" s="8" t="n">
        <v>5</v>
      </c>
      <c r="B8" s="8" t="s">
        <v>12</v>
      </c>
      <c r="C8" s="8" t="s">
        <v>201</v>
      </c>
      <c r="D8" s="8" t="s">
        <v>227</v>
      </c>
    </row>
    <row r="9" customFormat="false" ht="15" hidden="false" customHeight="true" outlineLevel="0" collapsed="false">
      <c r="A9" s="8" t="n">
        <v>6</v>
      </c>
      <c r="B9" s="8" t="s">
        <v>12</v>
      </c>
      <c r="C9" s="8" t="s">
        <v>201</v>
      </c>
      <c r="D9" s="8" t="s">
        <v>228</v>
      </c>
    </row>
    <row r="10" customFormat="false" ht="15" hidden="false" customHeight="true" outlineLevel="0" collapsed="false">
      <c r="A10" s="8" t="n">
        <v>7</v>
      </c>
      <c r="B10" s="8" t="s">
        <v>204</v>
      </c>
      <c r="C10" s="8" t="s">
        <v>205</v>
      </c>
      <c r="D10" s="8" t="s">
        <v>229</v>
      </c>
    </row>
    <row r="11" customFormat="false" ht="15" hidden="false" customHeight="true" outlineLevel="0" collapsed="false">
      <c r="A11" s="8" t="n">
        <v>8</v>
      </c>
      <c r="B11" s="8" t="s">
        <v>204</v>
      </c>
      <c r="C11" s="8" t="s">
        <v>194</v>
      </c>
      <c r="D11" s="8" t="s">
        <v>230</v>
      </c>
    </row>
    <row r="12" customFormat="false" ht="15" hidden="false" customHeight="true" outlineLevel="0" collapsed="false">
      <c r="A12" s="8" t="n">
        <v>9</v>
      </c>
      <c r="B12" s="8" t="s">
        <v>204</v>
      </c>
      <c r="C12" s="8" t="s">
        <v>207</v>
      </c>
      <c r="D12" s="8" t="s">
        <v>231</v>
      </c>
    </row>
    <row r="13" customFormat="false" ht="15" hidden="false" customHeight="true" outlineLevel="0" collapsed="false">
      <c r="A13" s="8" t="n">
        <v>10</v>
      </c>
      <c r="B13" s="8" t="s">
        <v>204</v>
      </c>
      <c r="C13" s="8" t="s">
        <v>194</v>
      </c>
      <c r="D13" s="8" t="s">
        <v>232</v>
      </c>
    </row>
    <row r="14" customFormat="false" ht="15" hidden="false" customHeight="true" outlineLevel="0" collapsed="false">
      <c r="A14" s="8" t="n">
        <v>11</v>
      </c>
      <c r="B14" s="8" t="s">
        <v>204</v>
      </c>
      <c r="C14" s="8" t="s">
        <v>207</v>
      </c>
      <c r="D14" s="8" t="s">
        <v>233</v>
      </c>
    </row>
    <row r="15" customFormat="false" ht="15" hidden="false" customHeight="true" outlineLevel="0" collapsed="false">
      <c r="A15" s="8" t="n">
        <v>12</v>
      </c>
      <c r="B15" s="8" t="s">
        <v>209</v>
      </c>
      <c r="C15" s="8" t="s">
        <v>194</v>
      </c>
      <c r="D15" s="8" t="s">
        <v>234</v>
      </c>
    </row>
    <row r="16" customFormat="false" ht="15" hidden="false" customHeight="true" outlineLevel="0" collapsed="false">
      <c r="A16" s="8" t="n">
        <v>13</v>
      </c>
      <c r="B16" s="8" t="s">
        <v>209</v>
      </c>
      <c r="C16" s="8" t="s">
        <v>207</v>
      </c>
      <c r="D16" s="8" t="s">
        <v>235</v>
      </c>
    </row>
    <row r="17" customFormat="false" ht="23.25" hidden="false" customHeight="true" outlineLevel="0" collapsed="false">
      <c r="A17" s="8" t="n">
        <v>14</v>
      </c>
      <c r="B17" s="8" t="s">
        <v>204</v>
      </c>
      <c r="C17" s="8" t="s">
        <v>236</v>
      </c>
      <c r="D17" s="8" t="s">
        <v>237</v>
      </c>
    </row>
    <row r="18" customFormat="false" ht="23.25" hidden="false" customHeight="true" outlineLevel="0" collapsed="false">
      <c r="A18" s="8" t="n">
        <v>15</v>
      </c>
      <c r="B18" s="8" t="s">
        <v>204</v>
      </c>
      <c r="C18" s="8" t="s">
        <v>238</v>
      </c>
      <c r="D18" s="8" t="s">
        <v>239</v>
      </c>
    </row>
    <row r="19" customFormat="false" ht="15" hidden="false" customHeight="true" outlineLevel="0" collapsed="false">
      <c r="A19" s="8" t="n">
        <v>16</v>
      </c>
      <c r="B19" s="8" t="s">
        <v>204</v>
      </c>
      <c r="C19" s="8" t="s">
        <v>194</v>
      </c>
      <c r="D19" s="8" t="s">
        <v>240</v>
      </c>
    </row>
    <row r="20" customFormat="false" ht="15" hidden="false" customHeight="true" outlineLevel="0" collapsed="false">
      <c r="A20" s="8" t="n">
        <v>17</v>
      </c>
      <c r="B20" s="8" t="s">
        <v>204</v>
      </c>
      <c r="C20" s="8" t="s">
        <v>241</v>
      </c>
      <c r="D20" s="8" t="s">
        <v>242</v>
      </c>
    </row>
    <row r="21" customFormat="false" ht="23.25" hidden="false" customHeight="true" outlineLevel="0" collapsed="false">
      <c r="A21" s="8" t="n">
        <v>18</v>
      </c>
      <c r="B21" s="8" t="s">
        <v>204</v>
      </c>
      <c r="C21" s="8" t="s">
        <v>197</v>
      </c>
      <c r="D21" s="8" t="s">
        <v>243</v>
      </c>
    </row>
    <row r="22" customFormat="false" ht="23.25" hidden="false" customHeight="true" outlineLevel="0" collapsed="false">
      <c r="A22" s="8" t="n">
        <v>19</v>
      </c>
      <c r="B22" s="8" t="s">
        <v>204</v>
      </c>
      <c r="C22" s="8" t="s">
        <v>197</v>
      </c>
      <c r="D22" s="8" t="s">
        <v>244</v>
      </c>
    </row>
    <row r="23" customFormat="false" ht="23.25" hidden="false" customHeight="true" outlineLevel="0" collapsed="false">
      <c r="A23" s="8" t="n">
        <v>20</v>
      </c>
      <c r="B23" s="8" t="s">
        <v>204</v>
      </c>
      <c r="C23" s="8" t="s">
        <v>197</v>
      </c>
      <c r="D23" s="8" t="s">
        <v>245</v>
      </c>
    </row>
    <row r="24" customFormat="false" ht="23.25" hidden="false" customHeight="true" outlineLevel="0" collapsed="false">
      <c r="A24" s="8" t="n">
        <v>21</v>
      </c>
      <c r="B24" s="8" t="s">
        <v>204</v>
      </c>
      <c r="C24" s="8" t="s">
        <v>246</v>
      </c>
      <c r="D24" s="8" t="s">
        <v>247</v>
      </c>
    </row>
    <row r="25" customFormat="false" ht="15" hidden="false" customHeight="true" outlineLevel="0" collapsed="false">
      <c r="A25" s="8" t="n">
        <v>22</v>
      </c>
      <c r="B25" s="8" t="s">
        <v>248</v>
      </c>
      <c r="C25" s="8" t="s">
        <v>205</v>
      </c>
      <c r="D25" s="8" t="s">
        <v>249</v>
      </c>
    </row>
    <row r="26" customFormat="false" ht="23.25" hidden="false" customHeight="true" outlineLevel="0" collapsed="false">
      <c r="A26" s="8" t="n">
        <v>23</v>
      </c>
      <c r="B26" s="8" t="s">
        <v>248</v>
      </c>
      <c r="C26" s="8" t="s">
        <v>197</v>
      </c>
      <c r="D26" s="8" t="s">
        <v>250</v>
      </c>
    </row>
    <row r="27" customFormat="false" ht="15" hidden="false" customHeight="true" outlineLevel="0" collapsed="false">
      <c r="A27" s="8" t="n">
        <v>24</v>
      </c>
      <c r="B27" s="8" t="s">
        <v>248</v>
      </c>
      <c r="C27" s="8" t="s">
        <v>201</v>
      </c>
      <c r="D27" s="8" t="s">
        <v>251</v>
      </c>
    </row>
    <row r="28" customFormat="false" ht="23.25" hidden="false" customHeight="true" outlineLevel="0" collapsed="false">
      <c r="A28" s="8" t="n">
        <v>25</v>
      </c>
      <c r="B28" s="8" t="s">
        <v>157</v>
      </c>
      <c r="C28" s="8" t="s">
        <v>219</v>
      </c>
      <c r="D28" s="8" t="s">
        <v>252</v>
      </c>
    </row>
    <row r="30" customFormat="false" ht="348" hidden="false" customHeight="true" outlineLevel="0" collapsed="false">
      <c r="A30" s="9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30"/>
    <col collapsed="false" customWidth="true" hidden="false" outlineLevel="0" max="4" min="4" style="1" width="70"/>
  </cols>
  <sheetData>
    <row r="1" customFormat="false" ht="15" hidden="false" customHeight="true" outlineLevel="0" collapsed="false">
      <c r="A1" s="2" t="s">
        <v>254</v>
      </c>
    </row>
    <row r="2" customFormat="false" ht="15" hidden="false" customHeight="false" outlineLevel="0" collapsed="false">
      <c r="A2" s="3" t="s">
        <v>125</v>
      </c>
    </row>
    <row r="3" customFormat="false" ht="15" hidden="false" customHeight="true" outlineLevel="0" collapsed="false">
      <c r="A3" s="5" t="s">
        <v>188</v>
      </c>
      <c r="B3" s="5" t="s">
        <v>189</v>
      </c>
      <c r="C3" s="5" t="s">
        <v>190</v>
      </c>
      <c r="D3" s="5" t="s">
        <v>191</v>
      </c>
    </row>
    <row r="4" customFormat="false" ht="15" hidden="false" customHeight="true" outlineLevel="0" collapsed="false">
      <c r="A4" s="8" t="n">
        <v>1</v>
      </c>
      <c r="B4" s="8" t="s">
        <v>12</v>
      </c>
      <c r="C4" s="8" t="s">
        <v>192</v>
      </c>
      <c r="D4" s="8" t="s">
        <v>255</v>
      </c>
    </row>
    <row r="5" customFormat="false" ht="23.25" hidden="false" customHeight="true" outlineLevel="0" collapsed="false">
      <c r="A5" s="8" t="n">
        <v>2</v>
      </c>
      <c r="B5" s="8" t="s">
        <v>12</v>
      </c>
      <c r="C5" s="8" t="s">
        <v>194</v>
      </c>
      <c r="D5" s="8" t="s">
        <v>256</v>
      </c>
    </row>
    <row r="6" customFormat="false" ht="23.25" hidden="false" customHeight="true" outlineLevel="0" collapsed="false">
      <c r="A6" s="8" t="n">
        <v>3</v>
      </c>
      <c r="B6" s="8" t="s">
        <v>12</v>
      </c>
      <c r="C6" s="8" t="s">
        <v>197</v>
      </c>
      <c r="D6" s="8" t="s">
        <v>257</v>
      </c>
    </row>
    <row r="7" customFormat="false" ht="23.25" hidden="false" customHeight="true" outlineLevel="0" collapsed="false">
      <c r="A7" s="8" t="n">
        <v>4</v>
      </c>
      <c r="B7" s="8" t="s">
        <v>12</v>
      </c>
      <c r="C7" s="8" t="s">
        <v>258</v>
      </c>
      <c r="D7" s="8" t="s">
        <v>259</v>
      </c>
    </row>
    <row r="8" customFormat="false" ht="15" hidden="false" customHeight="true" outlineLevel="0" collapsed="false">
      <c r="A8" s="8" t="n">
        <v>5</v>
      </c>
      <c r="B8" s="8" t="s">
        <v>12</v>
      </c>
      <c r="C8" s="8" t="s">
        <v>207</v>
      </c>
      <c r="D8" s="8" t="s">
        <v>260</v>
      </c>
    </row>
    <row r="9" customFormat="false" ht="15" hidden="false" customHeight="true" outlineLevel="0" collapsed="false">
      <c r="A9" s="8" t="n">
        <v>6</v>
      </c>
      <c r="B9" s="8" t="s">
        <v>12</v>
      </c>
      <c r="C9" s="8" t="s">
        <v>201</v>
      </c>
      <c r="D9" s="8" t="s">
        <v>261</v>
      </c>
    </row>
    <row r="10" customFormat="false" ht="23.25" hidden="false" customHeight="true" outlineLevel="0" collapsed="false">
      <c r="A10" s="8" t="n">
        <v>7</v>
      </c>
      <c r="B10" s="8" t="s">
        <v>12</v>
      </c>
      <c r="C10" s="8" t="s">
        <v>262</v>
      </c>
      <c r="D10" s="8" t="s">
        <v>263</v>
      </c>
    </row>
    <row r="11" customFormat="false" ht="15" hidden="false" customHeight="true" outlineLevel="0" collapsed="false">
      <c r="A11" s="8" t="n">
        <v>8</v>
      </c>
      <c r="B11" s="8" t="s">
        <v>12</v>
      </c>
      <c r="C11" s="8" t="s">
        <v>201</v>
      </c>
      <c r="D11" s="8" t="s">
        <v>264</v>
      </c>
    </row>
    <row r="12" customFormat="false" ht="15" hidden="false" customHeight="true" outlineLevel="0" collapsed="false">
      <c r="A12" s="8" t="n">
        <v>9</v>
      </c>
      <c r="B12" s="8" t="s">
        <v>12</v>
      </c>
      <c r="C12" s="8" t="s">
        <v>201</v>
      </c>
      <c r="D12" s="8" t="s">
        <v>265</v>
      </c>
    </row>
    <row r="13" customFormat="false" ht="15" hidden="false" customHeight="true" outlineLevel="0" collapsed="false">
      <c r="A13" s="8" t="n">
        <v>10</v>
      </c>
      <c r="B13" s="8" t="s">
        <v>204</v>
      </c>
      <c r="C13" s="8" t="s">
        <v>205</v>
      </c>
      <c r="D13" s="8" t="s">
        <v>266</v>
      </c>
    </row>
    <row r="14" customFormat="false" ht="15" hidden="false" customHeight="true" outlineLevel="0" collapsed="false">
      <c r="A14" s="8" t="n">
        <v>11</v>
      </c>
      <c r="B14" s="8" t="s">
        <v>204</v>
      </c>
      <c r="C14" s="8" t="s">
        <v>194</v>
      </c>
      <c r="D14" s="8" t="s">
        <v>267</v>
      </c>
    </row>
    <row r="15" customFormat="false" ht="15" hidden="false" customHeight="true" outlineLevel="0" collapsed="false">
      <c r="A15" s="8" t="n">
        <v>12</v>
      </c>
      <c r="B15" s="8" t="s">
        <v>204</v>
      </c>
      <c r="C15" s="8" t="s">
        <v>207</v>
      </c>
      <c r="D15" s="8" t="s">
        <v>268</v>
      </c>
    </row>
    <row r="16" customFormat="false" ht="23.25" hidden="false" customHeight="true" outlineLevel="0" collapsed="false">
      <c r="A16" s="8" t="n">
        <v>13</v>
      </c>
      <c r="B16" s="8" t="s">
        <v>204</v>
      </c>
      <c r="C16" s="8" t="s">
        <v>269</v>
      </c>
      <c r="D16" s="8" t="s">
        <v>270</v>
      </c>
    </row>
    <row r="17" customFormat="false" ht="23.25" hidden="false" customHeight="true" outlineLevel="0" collapsed="false">
      <c r="A17" s="8" t="n">
        <v>14</v>
      </c>
      <c r="B17" s="8" t="s">
        <v>204</v>
      </c>
      <c r="C17" s="8" t="s">
        <v>271</v>
      </c>
      <c r="D17" s="8" t="s">
        <v>272</v>
      </c>
    </row>
    <row r="18" customFormat="false" ht="15" hidden="false" customHeight="true" outlineLevel="0" collapsed="false">
      <c r="A18" s="8" t="n">
        <v>15</v>
      </c>
      <c r="B18" s="8" t="s">
        <v>273</v>
      </c>
      <c r="C18" s="8" t="s">
        <v>194</v>
      </c>
      <c r="D18" s="8" t="s">
        <v>274</v>
      </c>
    </row>
    <row r="19" customFormat="false" ht="23.25" hidden="false" customHeight="true" outlineLevel="0" collapsed="false">
      <c r="A19" s="8" t="n">
        <v>16</v>
      </c>
      <c r="B19" s="8" t="s">
        <v>273</v>
      </c>
      <c r="C19" s="8" t="s">
        <v>207</v>
      </c>
      <c r="D19" s="8" t="s">
        <v>275</v>
      </c>
    </row>
    <row r="20" customFormat="false" ht="23.25" hidden="false" customHeight="true" outlineLevel="0" collapsed="false">
      <c r="A20" s="8" t="n">
        <v>17</v>
      </c>
      <c r="B20" s="8" t="s">
        <v>204</v>
      </c>
      <c r="C20" s="8" t="s">
        <v>197</v>
      </c>
      <c r="D20" s="8" t="s">
        <v>276</v>
      </c>
    </row>
    <row r="21" customFormat="false" ht="23.25" hidden="false" customHeight="true" outlineLevel="0" collapsed="false">
      <c r="A21" s="8" t="n">
        <v>18</v>
      </c>
      <c r="B21" s="8" t="s">
        <v>204</v>
      </c>
      <c r="C21" s="8" t="s">
        <v>197</v>
      </c>
      <c r="D21" s="8" t="s">
        <v>277</v>
      </c>
    </row>
    <row r="22" customFormat="false" ht="23.25" hidden="false" customHeight="true" outlineLevel="0" collapsed="false">
      <c r="A22" s="8" t="n">
        <v>19</v>
      </c>
      <c r="B22" s="8" t="s">
        <v>204</v>
      </c>
      <c r="C22" s="8" t="s">
        <v>199</v>
      </c>
      <c r="D22" s="8" t="s">
        <v>278</v>
      </c>
    </row>
    <row r="23" customFormat="false" ht="15" hidden="false" customHeight="true" outlineLevel="0" collapsed="false">
      <c r="A23" s="8" t="n">
        <v>20</v>
      </c>
      <c r="B23" s="8" t="s">
        <v>157</v>
      </c>
      <c r="C23" s="8" t="s">
        <v>219</v>
      </c>
      <c r="D23" s="8" t="s">
        <v>279</v>
      </c>
    </row>
    <row r="24" customFormat="false" ht="23.25" hidden="false" customHeight="true" outlineLevel="0" collapsed="false">
      <c r="A24" s="8" t="n">
        <v>21</v>
      </c>
      <c r="B24" s="8" t="s">
        <v>204</v>
      </c>
      <c r="C24" s="8" t="s">
        <v>194</v>
      </c>
      <c r="D24" s="8" t="s">
        <v>280</v>
      </c>
    </row>
    <row r="25" customFormat="false" ht="15" hidden="false" customHeight="true" outlineLevel="0" collapsed="false">
      <c r="A25" s="8" t="n">
        <v>22</v>
      </c>
      <c r="B25" s="8" t="s">
        <v>204</v>
      </c>
      <c r="C25" s="8" t="s">
        <v>201</v>
      </c>
      <c r="D25" s="8" t="s">
        <v>281</v>
      </c>
    </row>
    <row r="26" customFormat="false" ht="34.5" hidden="false" customHeight="true" outlineLevel="0" collapsed="false">
      <c r="A26" s="8" t="n">
        <v>23</v>
      </c>
      <c r="B26" s="8" t="s">
        <v>157</v>
      </c>
      <c r="C26" s="8" t="s">
        <v>219</v>
      </c>
      <c r="D26" s="8" t="s">
        <v>282</v>
      </c>
    </row>
    <row r="28" customFormat="false" ht="359.25" hidden="false" customHeight="true" outlineLevel="0" collapsed="false">
      <c r="A28" s="9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30"/>
    <col collapsed="false" customWidth="true" hidden="false" outlineLevel="0" max="4" min="4" style="1" width="70"/>
  </cols>
  <sheetData>
    <row r="1" customFormat="false" ht="15" hidden="false" customHeight="true" outlineLevel="0" collapsed="false">
      <c r="A1" s="2" t="s">
        <v>284</v>
      </c>
    </row>
    <row r="2" customFormat="false" ht="15" hidden="false" customHeight="false" outlineLevel="0" collapsed="false">
      <c r="A2" s="3" t="s">
        <v>125</v>
      </c>
    </row>
    <row r="3" customFormat="false" ht="15" hidden="false" customHeight="true" outlineLevel="0" collapsed="false">
      <c r="A3" s="5" t="s">
        <v>188</v>
      </c>
      <c r="B3" s="5" t="s">
        <v>189</v>
      </c>
      <c r="C3" s="5" t="s">
        <v>190</v>
      </c>
      <c r="D3" s="5" t="s">
        <v>191</v>
      </c>
    </row>
    <row r="4" customFormat="false" ht="15" hidden="false" customHeight="true" outlineLevel="0" collapsed="false">
      <c r="A4" s="8" t="n">
        <v>1</v>
      </c>
      <c r="B4" s="8" t="s">
        <v>12</v>
      </c>
      <c r="C4" s="8" t="s">
        <v>192</v>
      </c>
      <c r="D4" s="8" t="s">
        <v>285</v>
      </c>
    </row>
    <row r="5" customFormat="false" ht="23.25" hidden="false" customHeight="true" outlineLevel="0" collapsed="false">
      <c r="A5" s="8" t="n">
        <v>2</v>
      </c>
      <c r="B5" s="8" t="s">
        <v>12</v>
      </c>
      <c r="C5" s="8" t="s">
        <v>194</v>
      </c>
      <c r="D5" s="8" t="s">
        <v>286</v>
      </c>
    </row>
    <row r="6" customFormat="false" ht="23.25" hidden="false" customHeight="true" outlineLevel="0" collapsed="false">
      <c r="A6" s="8" t="n">
        <v>3</v>
      </c>
      <c r="B6" s="8" t="s">
        <v>12</v>
      </c>
      <c r="C6" s="8" t="s">
        <v>197</v>
      </c>
      <c r="D6" s="8" t="s">
        <v>287</v>
      </c>
    </row>
    <row r="7" customFormat="false" ht="23.25" hidden="false" customHeight="true" outlineLevel="0" collapsed="false">
      <c r="A7" s="8" t="n">
        <v>4</v>
      </c>
      <c r="B7" s="8" t="s">
        <v>12</v>
      </c>
      <c r="C7" s="8" t="s">
        <v>199</v>
      </c>
      <c r="D7" s="8" t="s">
        <v>288</v>
      </c>
    </row>
    <row r="8" customFormat="false" ht="15" hidden="false" customHeight="true" outlineLevel="0" collapsed="false">
      <c r="A8" s="8" t="n">
        <v>5</v>
      </c>
      <c r="B8" s="8" t="s">
        <v>12</v>
      </c>
      <c r="C8" s="8" t="s">
        <v>201</v>
      </c>
      <c r="D8" s="8" t="s">
        <v>289</v>
      </c>
    </row>
    <row r="9" customFormat="false" ht="15" hidden="false" customHeight="true" outlineLevel="0" collapsed="false">
      <c r="A9" s="8" t="n">
        <v>6</v>
      </c>
      <c r="B9" s="8" t="s">
        <v>12</v>
      </c>
      <c r="C9" s="8" t="s">
        <v>201</v>
      </c>
      <c r="D9" s="8" t="s">
        <v>290</v>
      </c>
    </row>
    <row r="10" customFormat="false" ht="15" hidden="false" customHeight="true" outlineLevel="0" collapsed="false">
      <c r="A10" s="8" t="n">
        <v>7</v>
      </c>
      <c r="B10" s="8" t="s">
        <v>204</v>
      </c>
      <c r="C10" s="8" t="s">
        <v>205</v>
      </c>
      <c r="D10" s="8" t="s">
        <v>291</v>
      </c>
    </row>
    <row r="11" customFormat="false" ht="15" hidden="false" customHeight="true" outlineLevel="0" collapsed="false">
      <c r="A11" s="8" t="n">
        <v>8</v>
      </c>
      <c r="B11" s="8" t="s">
        <v>204</v>
      </c>
      <c r="C11" s="8" t="s">
        <v>194</v>
      </c>
      <c r="D11" s="8" t="s">
        <v>292</v>
      </c>
    </row>
    <row r="12" customFormat="false" ht="15" hidden="false" customHeight="true" outlineLevel="0" collapsed="false">
      <c r="A12" s="8" t="n">
        <v>9</v>
      </c>
      <c r="B12" s="8" t="s">
        <v>204</v>
      </c>
      <c r="C12" s="8" t="s">
        <v>207</v>
      </c>
      <c r="D12" s="8" t="s">
        <v>293</v>
      </c>
    </row>
    <row r="13" customFormat="false" ht="23.25" hidden="false" customHeight="true" outlineLevel="0" collapsed="false">
      <c r="A13" s="8" t="n">
        <v>10</v>
      </c>
      <c r="B13" s="8" t="s">
        <v>204</v>
      </c>
      <c r="C13" s="8" t="s">
        <v>197</v>
      </c>
      <c r="D13" s="8" t="s">
        <v>294</v>
      </c>
    </row>
    <row r="14" customFormat="false" ht="15" hidden="false" customHeight="true" outlineLevel="0" collapsed="false">
      <c r="A14" s="8" t="n">
        <v>11</v>
      </c>
      <c r="B14" s="8" t="s">
        <v>204</v>
      </c>
      <c r="C14" s="8" t="s">
        <v>194</v>
      </c>
      <c r="D14" s="8" t="s">
        <v>295</v>
      </c>
    </row>
    <row r="15" customFormat="false" ht="15" hidden="false" customHeight="true" outlineLevel="0" collapsed="false">
      <c r="A15" s="8" t="n">
        <v>12</v>
      </c>
      <c r="B15" s="8" t="s">
        <v>204</v>
      </c>
      <c r="C15" s="8" t="s">
        <v>207</v>
      </c>
      <c r="D15" s="8" t="s">
        <v>296</v>
      </c>
    </row>
    <row r="16" customFormat="false" ht="23.25" hidden="false" customHeight="true" outlineLevel="0" collapsed="false">
      <c r="A16" s="8" t="n">
        <v>13</v>
      </c>
      <c r="B16" s="8" t="s">
        <v>204</v>
      </c>
      <c r="C16" s="8" t="s">
        <v>197</v>
      </c>
      <c r="D16" s="8" t="s">
        <v>297</v>
      </c>
    </row>
    <row r="17" customFormat="false" ht="15" hidden="false" customHeight="true" outlineLevel="0" collapsed="false">
      <c r="A17" s="8" t="n">
        <v>14</v>
      </c>
      <c r="B17" s="8" t="s">
        <v>204</v>
      </c>
      <c r="C17" s="8" t="s">
        <v>194</v>
      </c>
      <c r="D17" s="8" t="s">
        <v>298</v>
      </c>
    </row>
    <row r="18" customFormat="false" ht="23.25" hidden="false" customHeight="true" outlineLevel="0" collapsed="false">
      <c r="A18" s="8" t="n">
        <v>15</v>
      </c>
      <c r="B18" s="8" t="s">
        <v>204</v>
      </c>
      <c r="C18" s="8" t="s">
        <v>197</v>
      </c>
      <c r="D18" s="8" t="s">
        <v>299</v>
      </c>
    </row>
    <row r="19" customFormat="false" ht="23.25" hidden="false" customHeight="true" outlineLevel="0" collapsed="false">
      <c r="A19" s="8" t="n">
        <v>16</v>
      </c>
      <c r="B19" s="8" t="s">
        <v>204</v>
      </c>
      <c r="C19" s="8" t="s">
        <v>197</v>
      </c>
      <c r="D19" s="8" t="s">
        <v>300</v>
      </c>
    </row>
    <row r="20" customFormat="false" ht="15" hidden="false" customHeight="true" outlineLevel="0" collapsed="false">
      <c r="A20" s="8" t="n">
        <v>17</v>
      </c>
      <c r="B20" s="8" t="s">
        <v>204</v>
      </c>
      <c r="C20" s="8" t="s">
        <v>201</v>
      </c>
      <c r="D20" s="8" t="s">
        <v>301</v>
      </c>
    </row>
    <row r="21" customFormat="false" ht="15" hidden="false" customHeight="true" outlineLevel="0" collapsed="false">
      <c r="A21" s="8" t="n">
        <v>18</v>
      </c>
      <c r="B21" s="8" t="s">
        <v>302</v>
      </c>
      <c r="C21" s="8" t="s">
        <v>205</v>
      </c>
      <c r="D21" s="8" t="s">
        <v>291</v>
      </c>
    </row>
    <row r="22" customFormat="false" ht="15" hidden="false" customHeight="true" outlineLevel="0" collapsed="false">
      <c r="A22" s="8" t="n">
        <v>19</v>
      </c>
      <c r="B22" s="8" t="s">
        <v>302</v>
      </c>
      <c r="C22" s="8" t="s">
        <v>194</v>
      </c>
      <c r="D22" s="8" t="s">
        <v>303</v>
      </c>
    </row>
    <row r="23" customFormat="false" ht="15" hidden="false" customHeight="true" outlineLevel="0" collapsed="false">
      <c r="A23" s="8" t="n">
        <v>20</v>
      </c>
      <c r="B23" s="8" t="s">
        <v>302</v>
      </c>
      <c r="C23" s="8" t="s">
        <v>201</v>
      </c>
      <c r="D23" s="8" t="s">
        <v>304</v>
      </c>
    </row>
    <row r="24" customFormat="false" ht="23.25" hidden="false" customHeight="true" outlineLevel="0" collapsed="false">
      <c r="A24" s="8" t="n">
        <v>21</v>
      </c>
      <c r="B24" s="8" t="s">
        <v>157</v>
      </c>
      <c r="C24" s="8" t="s">
        <v>219</v>
      </c>
      <c r="D24" s="8" t="s">
        <v>305</v>
      </c>
    </row>
    <row r="26" customFormat="false" ht="258.75" hidden="false" customHeight="true" outlineLevel="0" collapsed="false">
      <c r="A26" s="9" t="s">
        <v>306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90"/>
  </cols>
  <sheetData>
    <row r="1" customFormat="false" ht="15" hidden="false" customHeight="true" outlineLevel="0" collapsed="false">
      <c r="A1" s="2" t="s">
        <v>307</v>
      </c>
    </row>
    <row r="2" customFormat="false" ht="15" hidden="false" customHeight="false" outlineLevel="0" collapsed="false">
      <c r="A2" s="3" t="s">
        <v>125</v>
      </c>
    </row>
    <row r="3" customFormat="false" ht="15" hidden="false" customHeight="true" outlineLevel="0" collapsed="false">
      <c r="A3" s="5" t="s">
        <v>308</v>
      </c>
      <c r="B3" s="5" t="s">
        <v>309</v>
      </c>
    </row>
    <row r="4" customFormat="false" ht="15" hidden="false" customHeight="true" outlineLevel="0" collapsed="false">
      <c r="A4" s="8" t="s">
        <v>310</v>
      </c>
      <c r="B4" s="8" t="s">
        <v>311</v>
      </c>
    </row>
    <row r="5" customFormat="false" ht="15" hidden="false" customHeight="true" outlineLevel="0" collapsed="false">
      <c r="A5" s="8" t="s">
        <v>312</v>
      </c>
      <c r="B5" s="8" t="s">
        <v>313</v>
      </c>
    </row>
    <row r="6" customFormat="false" ht="15" hidden="false" customHeight="true" outlineLevel="0" collapsed="false">
      <c r="A6" s="8" t="s">
        <v>314</v>
      </c>
      <c r="B6" s="8" t="s">
        <v>315</v>
      </c>
    </row>
    <row r="7" customFormat="false" ht="23.25" hidden="false" customHeight="true" outlineLevel="0" collapsed="false">
      <c r="A7" s="8" t="s">
        <v>316</v>
      </c>
      <c r="B7" s="8" t="s">
        <v>317</v>
      </c>
    </row>
    <row r="8" customFormat="false" ht="15" hidden="false" customHeight="true" outlineLevel="0" collapsed="false">
      <c r="A8" s="8" t="s">
        <v>318</v>
      </c>
      <c r="B8" s="8" t="s">
        <v>319</v>
      </c>
    </row>
    <row r="9" customFormat="false" ht="23.25" hidden="false" customHeight="true" outlineLevel="0" collapsed="false">
      <c r="A9" s="8" t="s">
        <v>320</v>
      </c>
      <c r="B9" s="8" t="s">
        <v>321</v>
      </c>
    </row>
    <row r="10" customFormat="false" ht="15" hidden="false" customHeight="true" outlineLevel="0" collapsed="false">
      <c r="A10" s="8" t="s">
        <v>322</v>
      </c>
      <c r="B10" s="8" t="s">
        <v>323</v>
      </c>
    </row>
    <row r="11" customFormat="false" ht="15" hidden="false" customHeight="true" outlineLevel="0" collapsed="false">
      <c r="A11" s="8" t="s">
        <v>324</v>
      </c>
      <c r="B11" s="8" t="s">
        <v>325</v>
      </c>
    </row>
    <row r="12" customFormat="false" ht="15" hidden="false" customHeight="true" outlineLevel="0" collapsed="false">
      <c r="A12" s="8" t="s">
        <v>326</v>
      </c>
      <c r="B12" s="8" t="s">
        <v>327</v>
      </c>
    </row>
    <row r="13" customFormat="false" ht="15" hidden="false" customHeight="true" outlineLevel="0" collapsed="false">
      <c r="A13" s="8" t="s">
        <v>328</v>
      </c>
      <c r="B13" s="8" t="s">
        <v>329</v>
      </c>
    </row>
    <row r="14" customFormat="false" ht="15" hidden="false" customHeight="true" outlineLevel="0" collapsed="false">
      <c r="A14" s="8" t="s">
        <v>330</v>
      </c>
      <c r="B14" s="8" t="s">
        <v>331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46"/>
    <col collapsed="false" customWidth="true" hidden="false" outlineLevel="0" max="3" min="3" style="1" width="66"/>
    <col collapsed="false" customWidth="true" hidden="false" outlineLevel="0" max="4" min="4" style="1" width="28"/>
    <col collapsed="false" customWidth="true" hidden="false" outlineLevel="0" max="5" min="5" style="0" width="30"/>
  </cols>
  <sheetData>
    <row r="1" customFormat="false" ht="15" hidden="false" customHeight="true" outlineLevel="0" collapsed="false">
      <c r="A1" s="2" t="s">
        <v>332</v>
      </c>
    </row>
    <row r="2" customFormat="false" ht="15" hidden="false" customHeight="false" outlineLevel="0" collapsed="false">
      <c r="A2" s="3" t="s">
        <v>125</v>
      </c>
    </row>
    <row r="3" customFormat="false" ht="15" hidden="false" customHeight="true" outlineLevel="0" collapsed="false">
      <c r="A3" s="5" t="s">
        <v>188</v>
      </c>
      <c r="B3" s="5" t="s">
        <v>333</v>
      </c>
      <c r="C3" s="5" t="s">
        <v>334</v>
      </c>
      <c r="D3" s="5" t="s">
        <v>335</v>
      </c>
      <c r="E3" s="5" t="s">
        <v>336</v>
      </c>
    </row>
    <row r="4" customFormat="false" ht="57" hidden="false" customHeight="true" outlineLevel="0" collapsed="false">
      <c r="A4" s="8" t="s">
        <v>337</v>
      </c>
      <c r="B4" s="8" t="s">
        <v>338</v>
      </c>
      <c r="C4" s="8" t="s">
        <v>339</v>
      </c>
      <c r="D4" s="8" t="s">
        <v>340</v>
      </c>
      <c r="E4" s="8"/>
    </row>
    <row r="5" customFormat="false" ht="34.5" hidden="false" customHeight="true" outlineLevel="0" collapsed="false">
      <c r="A5" s="8" t="s">
        <v>341</v>
      </c>
      <c r="B5" s="8" t="s">
        <v>342</v>
      </c>
      <c r="C5" s="8" t="s">
        <v>343</v>
      </c>
      <c r="D5" s="8" t="s">
        <v>344</v>
      </c>
      <c r="E5" s="8"/>
    </row>
    <row r="6" customFormat="false" ht="23.25" hidden="false" customHeight="true" outlineLevel="0" collapsed="false">
      <c r="A6" s="8" t="s">
        <v>345</v>
      </c>
      <c r="B6" s="8" t="s">
        <v>346</v>
      </c>
      <c r="C6" s="8" t="s">
        <v>347</v>
      </c>
      <c r="D6" s="8" t="s">
        <v>348</v>
      </c>
      <c r="E6" s="8"/>
    </row>
    <row r="7" customFormat="false" ht="23.25" hidden="false" customHeight="true" outlineLevel="0" collapsed="false">
      <c r="A7" s="8" t="s">
        <v>349</v>
      </c>
      <c r="B7" s="8" t="s">
        <v>350</v>
      </c>
      <c r="C7" s="8" t="s">
        <v>347</v>
      </c>
      <c r="D7" s="8" t="s">
        <v>348</v>
      </c>
      <c r="E7" s="8"/>
    </row>
    <row r="8" customFormat="false" ht="34.5" hidden="false" customHeight="true" outlineLevel="0" collapsed="false">
      <c r="A8" s="8" t="s">
        <v>351</v>
      </c>
      <c r="B8" s="8" t="s">
        <v>352</v>
      </c>
      <c r="C8" s="8" t="s">
        <v>353</v>
      </c>
      <c r="D8" s="8" t="s">
        <v>354</v>
      </c>
      <c r="E8" s="8"/>
    </row>
    <row r="9" customFormat="false" ht="34.5" hidden="false" customHeight="true" outlineLevel="0" collapsed="false">
      <c r="A9" s="8" t="s">
        <v>355</v>
      </c>
      <c r="B9" s="8" t="s">
        <v>356</v>
      </c>
      <c r="C9" s="8" t="s">
        <v>357</v>
      </c>
      <c r="D9" s="8" t="s">
        <v>358</v>
      </c>
      <c r="E9" s="8"/>
    </row>
    <row r="10" customFormat="false" ht="15" hidden="false" customHeight="true" outlineLevel="0" collapsed="false"/>
    <row r="11" customFormat="false" ht="15" hidden="false" customHeight="true" outlineLevel="0" collapsed="false">
      <c r="A11" s="2" t="s">
        <v>359</v>
      </c>
    </row>
    <row r="12" customFormat="false" ht="15" hidden="false" customHeight="true" outlineLevel="0" collapsed="false">
      <c r="A12" s="10" t="s">
        <v>360</v>
      </c>
      <c r="B12" s="10" t="n">
        <f aca="false">COUNTA('Спринт 1'!A4:A22)</f>
        <v>19</v>
      </c>
    </row>
    <row r="13" customFormat="false" ht="15" hidden="false" customHeight="true" outlineLevel="0" collapsed="false">
      <c r="A13" s="10" t="s">
        <v>17</v>
      </c>
      <c r="B13" s="10" t="n">
        <f aca="false">COUNTIF('Спринт 1'!G4:G22,"чернетка")</f>
        <v>19</v>
      </c>
    </row>
    <row r="14" customFormat="false" ht="15" hidden="false" customHeight="true" outlineLevel="0" collapsed="false">
      <c r="A14" s="10" t="s">
        <v>361</v>
      </c>
      <c r="B14" s="10" t="n">
        <f aca="false">COUNTIF('Спринт 1'!G4:G22,"затверджено")</f>
        <v>0</v>
      </c>
    </row>
    <row r="15" customFormat="false" ht="15" hidden="false" customHeight="false" outlineLevel="0" collapsed="false">
      <c r="A15" s="10" t="s">
        <v>362</v>
      </c>
      <c r="B15" s="10" t="n">
        <f aca="false">COUNTIF('Спринт 1'!G4:G22,"відхилено")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2026-09-14T16:54:07Z</dcterms:created>
  <dc:creator>openpyxl</dc:creator>
  <dc:description/>
  <dc:language>en-US</dc:language>
  <cp:lastModifiedBy/>
  <dcterms:modified xsi:type="dcterms:W3CDTF">2026-09-14T19:14:14Z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